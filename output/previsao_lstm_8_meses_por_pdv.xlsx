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é Orlei\OneDrive - Instituto Presbiteriano Mackenzie\7° Semestre\IA\Projeto\"/>
    </mc:Choice>
  </mc:AlternateContent>
  <xr:revisionPtr revIDLastSave="0" documentId="13_ncr:1_{AB130AE5-FE25-47A2-8846-8CBA47FAF9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Sheet1!$B$1:$E$425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2" i="1"/>
</calcChain>
</file>

<file path=xl/sharedStrings.xml><?xml version="1.0" encoding="utf-8"?>
<sst xmlns="http://schemas.openxmlformats.org/spreadsheetml/2006/main" count="428" uniqueCount="57">
  <si>
    <t>PDV_ID</t>
  </si>
  <si>
    <t>Mes_Futuro</t>
  </si>
  <si>
    <t>Vendas_Previstas</t>
  </si>
  <si>
    <t>PDV_1</t>
  </si>
  <si>
    <t>PDV_10</t>
  </si>
  <si>
    <t>PDV_11</t>
  </si>
  <si>
    <t>PDV_12</t>
  </si>
  <si>
    <t>PDV_13</t>
  </si>
  <si>
    <t>PDV_14</t>
  </si>
  <si>
    <t>PDV_15</t>
  </si>
  <si>
    <t>PDV_16</t>
  </si>
  <si>
    <t>PDV_17</t>
  </si>
  <si>
    <t>PDV_18</t>
  </si>
  <si>
    <t>PDV_19</t>
  </si>
  <si>
    <t>PDV_2</t>
  </si>
  <si>
    <t>PDV_20</t>
  </si>
  <si>
    <t>PDV_21</t>
  </si>
  <si>
    <t>PDV_22</t>
  </si>
  <si>
    <t>PDV_23</t>
  </si>
  <si>
    <t>PDV_24</t>
  </si>
  <si>
    <t>PDV_25</t>
  </si>
  <si>
    <t>PDV_26</t>
  </si>
  <si>
    <t>PDV_27</t>
  </si>
  <si>
    <t>PDV_28</t>
  </si>
  <si>
    <t>PDV_29</t>
  </si>
  <si>
    <t>PDV_3</t>
  </si>
  <si>
    <t>PDV_30</t>
  </si>
  <si>
    <t>PDV_31</t>
  </si>
  <si>
    <t>PDV_32</t>
  </si>
  <si>
    <t>PDV_33</t>
  </si>
  <si>
    <t>PDV_34</t>
  </si>
  <si>
    <t>PDV_35</t>
  </si>
  <si>
    <t>PDV_36</t>
  </si>
  <si>
    <t>PDV_37</t>
  </si>
  <si>
    <t>PDV_38</t>
  </si>
  <si>
    <t>PDV_39</t>
  </si>
  <si>
    <t>PDV_4</t>
  </si>
  <si>
    <t>PDV_40</t>
  </si>
  <si>
    <t>PDV_41</t>
  </si>
  <si>
    <t>PDV_42</t>
  </si>
  <si>
    <t>PDV_43</t>
  </si>
  <si>
    <t>PDV_44</t>
  </si>
  <si>
    <t>PDV_45</t>
  </si>
  <si>
    <t>PDV_46</t>
  </si>
  <si>
    <t>PDV_47</t>
  </si>
  <si>
    <t>PDV_48</t>
  </si>
  <si>
    <t>PDV_49</t>
  </si>
  <si>
    <t>PDV_5</t>
  </si>
  <si>
    <t>PDV_50</t>
  </si>
  <si>
    <t>PDV_51</t>
  </si>
  <si>
    <t>PDV_52</t>
  </si>
  <si>
    <t>PDV_53</t>
  </si>
  <si>
    <t>PDV_6</t>
  </si>
  <si>
    <t>PDV_7</t>
  </si>
  <si>
    <t>PDV_8</t>
  </si>
  <si>
    <t>PDV_9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</si>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</sst>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&#233;%20Orlei\OneDrive%20-%20Instituto%20Presbiteriano%20Mackenzie\7&#176;%20Semestre\IA\Projeto\Base%202025xlsx.xlsx" TargetMode="External"/><Relationship Id="rId1" Type="http://schemas.openxmlformats.org/officeDocument/2006/relationships/externalLinkPath" Target="Base%202025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B1" t="str">
            <v>Data</v>
          </cell>
          <cell r="C1" t="str">
            <v>PDV_ID</v>
          </cell>
          <cell r="D1" t="str">
            <v>Estado</v>
          </cell>
          <cell r="E1" t="str">
            <v>N_Funcionarios</v>
          </cell>
          <cell r="F1" t="str">
            <v>Dias_Uteis</v>
          </cell>
          <cell r="G1" t="str">
            <v>Meta</v>
          </cell>
          <cell r="H1" t="str">
            <v>Vendas</v>
          </cell>
          <cell r="I1" t="str">
            <v>Custo</v>
          </cell>
          <cell r="J1" t="str">
            <v>Lucro</v>
          </cell>
          <cell r="K1" t="str">
            <v>Satisfacao</v>
          </cell>
          <cell r="L1" t="str">
            <v>Selic</v>
          </cell>
          <cell r="M1" t="str">
            <v>Inflacao</v>
          </cell>
          <cell r="N1" t="str">
            <v>Qtd_Cotacoes</v>
          </cell>
          <cell r="O1" t="str">
            <v>Atingimento</v>
          </cell>
        </row>
        <row r="2">
          <cell r="A2" t="str">
            <v>PDV_12025/1</v>
          </cell>
          <cell r="B2">
            <v>45658</v>
          </cell>
          <cell r="C2" t="str">
            <v>PDV_1</v>
          </cell>
          <cell r="D2" t="str">
            <v>BA</v>
          </cell>
          <cell r="E2">
            <v>13</v>
          </cell>
          <cell r="F2">
            <v>21</v>
          </cell>
          <cell r="G2">
            <v>2765.34</v>
          </cell>
          <cell r="H2">
            <v>27705.19</v>
          </cell>
          <cell r="I2">
            <v>8241.9500000000007</v>
          </cell>
          <cell r="J2">
            <v>5092.29</v>
          </cell>
          <cell r="K2">
            <v>114.74</v>
          </cell>
          <cell r="L2">
            <v>15.22</v>
          </cell>
          <cell r="M2">
            <v>0.25</v>
          </cell>
          <cell r="N2">
            <v>8</v>
          </cell>
          <cell r="O2">
            <v>1001.87</v>
          </cell>
        </row>
        <row r="3">
          <cell r="A3" t="str">
            <v>PDV_22025/1</v>
          </cell>
          <cell r="B3">
            <v>45658</v>
          </cell>
          <cell r="C3" t="str">
            <v>PDV_2</v>
          </cell>
          <cell r="D3" t="str">
            <v>MG</v>
          </cell>
          <cell r="E3">
            <v>29</v>
          </cell>
          <cell r="F3">
            <v>21</v>
          </cell>
          <cell r="G3">
            <v>2681.31</v>
          </cell>
          <cell r="H3">
            <v>16963.07</v>
          </cell>
          <cell r="I3">
            <v>9798.32</v>
          </cell>
          <cell r="J3">
            <v>7212.14</v>
          </cell>
          <cell r="K3">
            <v>100</v>
          </cell>
          <cell r="L3">
            <v>15.22</v>
          </cell>
          <cell r="M3">
            <v>0.25</v>
          </cell>
          <cell r="N3">
            <v>8</v>
          </cell>
          <cell r="O3">
            <v>632.64</v>
          </cell>
        </row>
        <row r="4">
          <cell r="A4" t="str">
            <v>PDV_32025/1</v>
          </cell>
          <cell r="B4">
            <v>45658</v>
          </cell>
          <cell r="C4" t="str">
            <v>PDV_3</v>
          </cell>
          <cell r="D4" t="str">
            <v>PE</v>
          </cell>
          <cell r="E4">
            <v>8</v>
          </cell>
          <cell r="F4">
            <v>21</v>
          </cell>
          <cell r="G4">
            <v>2902.45</v>
          </cell>
          <cell r="H4">
            <v>20938.71</v>
          </cell>
          <cell r="I4">
            <v>15883.84</v>
          </cell>
          <cell r="J4">
            <v>4991.1099999999997</v>
          </cell>
          <cell r="K4">
            <v>100</v>
          </cell>
          <cell r="L4">
            <v>15.22</v>
          </cell>
          <cell r="M4">
            <v>0.25</v>
          </cell>
          <cell r="N4">
            <v>5</v>
          </cell>
          <cell r="O4">
            <v>721.42</v>
          </cell>
        </row>
        <row r="5">
          <cell r="A5" t="str">
            <v>PDV_42025/1</v>
          </cell>
          <cell r="B5">
            <v>45658</v>
          </cell>
          <cell r="C5" t="str">
            <v>PDV_4</v>
          </cell>
          <cell r="D5" t="str">
            <v>SP</v>
          </cell>
          <cell r="E5">
            <v>44</v>
          </cell>
          <cell r="F5">
            <v>21</v>
          </cell>
          <cell r="G5">
            <v>2957.52</v>
          </cell>
          <cell r="H5">
            <v>13719.39</v>
          </cell>
          <cell r="I5">
            <v>6395.64</v>
          </cell>
          <cell r="J5">
            <v>7530.08</v>
          </cell>
          <cell r="K5">
            <v>100</v>
          </cell>
          <cell r="L5">
            <v>15.22</v>
          </cell>
          <cell r="M5">
            <v>0.25</v>
          </cell>
          <cell r="N5">
            <v>9</v>
          </cell>
          <cell r="O5">
            <v>463.88</v>
          </cell>
        </row>
        <row r="6">
          <cell r="A6" t="str">
            <v>PDV_52025/1</v>
          </cell>
          <cell r="B6">
            <v>45658</v>
          </cell>
          <cell r="C6" t="str">
            <v>PDV_5</v>
          </cell>
          <cell r="D6" t="str">
            <v>PE</v>
          </cell>
          <cell r="E6">
            <v>28</v>
          </cell>
          <cell r="F6">
            <v>21</v>
          </cell>
          <cell r="G6">
            <v>2860.18</v>
          </cell>
          <cell r="H6">
            <v>19485.560000000001</v>
          </cell>
          <cell r="I6">
            <v>9680.16</v>
          </cell>
          <cell r="K6">
            <v>100</v>
          </cell>
          <cell r="L6">
            <v>15.22</v>
          </cell>
          <cell r="M6">
            <v>0.25</v>
          </cell>
          <cell r="N6">
            <v>5</v>
          </cell>
          <cell r="O6">
            <v>681.27</v>
          </cell>
        </row>
        <row r="7">
          <cell r="A7" t="str">
            <v>PDV_62025/1</v>
          </cell>
          <cell r="B7">
            <v>45658</v>
          </cell>
          <cell r="C7" t="str">
            <v>PDV_6</v>
          </cell>
          <cell r="D7" t="str">
            <v>RS</v>
          </cell>
          <cell r="E7">
            <v>20</v>
          </cell>
          <cell r="F7">
            <v>21</v>
          </cell>
          <cell r="G7">
            <v>2948.27</v>
          </cell>
          <cell r="H7">
            <v>26845.09</v>
          </cell>
          <cell r="I7">
            <v>14276.18</v>
          </cell>
          <cell r="J7">
            <v>12664.3</v>
          </cell>
          <cell r="K7">
            <v>100</v>
          </cell>
          <cell r="L7">
            <v>15.22</v>
          </cell>
          <cell r="M7">
            <v>0.25</v>
          </cell>
          <cell r="N7">
            <v>11</v>
          </cell>
          <cell r="O7">
            <v>910.54</v>
          </cell>
        </row>
        <row r="8">
          <cell r="A8" t="str">
            <v>PDV_72025/1</v>
          </cell>
          <cell r="B8">
            <v>45658</v>
          </cell>
          <cell r="C8" t="str">
            <v>PDV_7</v>
          </cell>
          <cell r="D8" t="str">
            <v>RJ</v>
          </cell>
          <cell r="E8">
            <v>15</v>
          </cell>
          <cell r="F8">
            <v>21</v>
          </cell>
          <cell r="G8">
            <v>2995.8</v>
          </cell>
          <cell r="H8">
            <v>13325.39</v>
          </cell>
          <cell r="I8">
            <v>9054.1</v>
          </cell>
          <cell r="J8">
            <v>4284.05</v>
          </cell>
          <cell r="K8">
            <v>100</v>
          </cell>
          <cell r="L8">
            <v>15.22</v>
          </cell>
          <cell r="M8">
            <v>0.25</v>
          </cell>
          <cell r="N8">
            <v>5</v>
          </cell>
          <cell r="O8">
            <v>444.8</v>
          </cell>
        </row>
        <row r="9">
          <cell r="A9" t="str">
            <v>PDV_82025/1</v>
          </cell>
          <cell r="B9">
            <v>45658</v>
          </cell>
          <cell r="C9" t="str">
            <v>PDV_8</v>
          </cell>
          <cell r="D9" t="str">
            <v>SP</v>
          </cell>
          <cell r="E9">
            <v>35</v>
          </cell>
          <cell r="F9">
            <v>21</v>
          </cell>
          <cell r="G9">
            <v>2751.06</v>
          </cell>
          <cell r="H9">
            <v>12923.28</v>
          </cell>
          <cell r="I9">
            <v>8579.7800000000007</v>
          </cell>
          <cell r="J9">
            <v>4445.87</v>
          </cell>
          <cell r="K9">
            <v>100</v>
          </cell>
          <cell r="L9">
            <v>15.22</v>
          </cell>
          <cell r="M9">
            <v>0.25</v>
          </cell>
          <cell r="N9">
            <v>6</v>
          </cell>
          <cell r="O9">
            <v>469.76</v>
          </cell>
        </row>
        <row r="10">
          <cell r="A10" t="str">
            <v>PDV_92025/1</v>
          </cell>
          <cell r="B10">
            <v>45658</v>
          </cell>
          <cell r="C10" t="str">
            <v>PDV_9</v>
          </cell>
          <cell r="D10" t="str">
            <v>DF</v>
          </cell>
          <cell r="E10">
            <v>39</v>
          </cell>
          <cell r="F10">
            <v>21</v>
          </cell>
          <cell r="G10">
            <v>2740.48</v>
          </cell>
          <cell r="H10">
            <v>13649.09</v>
          </cell>
          <cell r="I10">
            <v>6861.53</v>
          </cell>
          <cell r="J10">
            <v>6854.43</v>
          </cell>
          <cell r="K10">
            <v>100</v>
          </cell>
          <cell r="L10">
            <v>15.22</v>
          </cell>
          <cell r="M10">
            <v>0.25</v>
          </cell>
          <cell r="N10">
            <v>18</v>
          </cell>
          <cell r="O10">
            <v>498.05</v>
          </cell>
        </row>
        <row r="11">
          <cell r="A11" t="str">
            <v>PDV_102025/1</v>
          </cell>
          <cell r="B11">
            <v>45658</v>
          </cell>
          <cell r="C11" t="str">
            <v>PDV_10</v>
          </cell>
          <cell r="D11" t="str">
            <v>SP</v>
          </cell>
          <cell r="E11">
            <v>7</v>
          </cell>
          <cell r="F11">
            <v>21</v>
          </cell>
          <cell r="G11">
            <v>2798.21</v>
          </cell>
          <cell r="H11">
            <v>17589.59</v>
          </cell>
          <cell r="I11">
            <v>8854.31</v>
          </cell>
          <cell r="J11">
            <v>8640.7800000000007</v>
          </cell>
          <cell r="K11">
            <v>100</v>
          </cell>
          <cell r="L11">
            <v>15.22</v>
          </cell>
          <cell r="M11">
            <v>0.25</v>
          </cell>
          <cell r="N11">
            <v>4</v>
          </cell>
          <cell r="O11">
            <v>628.6</v>
          </cell>
        </row>
        <row r="12">
          <cell r="A12" t="str">
            <v>PDV_112025/1</v>
          </cell>
          <cell r="B12">
            <v>45658</v>
          </cell>
          <cell r="C12" t="str">
            <v>PDV_11</v>
          </cell>
          <cell r="D12" t="str">
            <v>PE</v>
          </cell>
          <cell r="E12">
            <v>39</v>
          </cell>
          <cell r="F12">
            <v>21</v>
          </cell>
          <cell r="G12">
            <v>3195.32</v>
          </cell>
          <cell r="H12">
            <v>23398.21</v>
          </cell>
          <cell r="I12">
            <v>12580.23</v>
          </cell>
          <cell r="J12">
            <v>10667.23</v>
          </cell>
          <cell r="K12">
            <v>100</v>
          </cell>
          <cell r="L12">
            <v>15.22</v>
          </cell>
          <cell r="M12">
            <v>0.25</v>
          </cell>
          <cell r="N12">
            <v>17</v>
          </cell>
          <cell r="O12">
            <v>732.27</v>
          </cell>
        </row>
        <row r="13">
          <cell r="A13" t="str">
            <v>PDV_122025/1</v>
          </cell>
          <cell r="B13">
            <v>45658</v>
          </cell>
          <cell r="C13" t="str">
            <v>PDV_12</v>
          </cell>
          <cell r="D13" t="str">
            <v>BA</v>
          </cell>
          <cell r="E13">
            <v>19</v>
          </cell>
          <cell r="F13">
            <v>21</v>
          </cell>
          <cell r="G13">
            <v>2804.07</v>
          </cell>
          <cell r="H13">
            <v>13591.61</v>
          </cell>
          <cell r="I13">
            <v>10544.02</v>
          </cell>
          <cell r="J13">
            <v>2872.51</v>
          </cell>
          <cell r="K13">
            <v>100</v>
          </cell>
          <cell r="L13">
            <v>15.22</v>
          </cell>
          <cell r="M13">
            <v>0.25</v>
          </cell>
          <cell r="N13">
            <v>9</v>
          </cell>
          <cell r="O13">
            <v>484.71</v>
          </cell>
        </row>
        <row r="14">
          <cell r="A14" t="str">
            <v>PDV_132025/1</v>
          </cell>
          <cell r="B14">
            <v>45658</v>
          </cell>
          <cell r="C14" t="str">
            <v>PDV_13</v>
          </cell>
          <cell r="D14" t="str">
            <v>RJ</v>
          </cell>
          <cell r="E14">
            <v>39</v>
          </cell>
          <cell r="F14">
            <v>21</v>
          </cell>
          <cell r="G14">
            <v>2817.41</v>
          </cell>
          <cell r="H14">
            <v>21244.62</v>
          </cell>
          <cell r="I14">
            <v>14092.38</v>
          </cell>
          <cell r="J14">
            <v>7246.58</v>
          </cell>
          <cell r="K14">
            <v>100</v>
          </cell>
          <cell r="L14">
            <v>15.22</v>
          </cell>
          <cell r="M14">
            <v>0.25</v>
          </cell>
          <cell r="N14">
            <v>13</v>
          </cell>
          <cell r="O14">
            <v>754.05</v>
          </cell>
        </row>
        <row r="15">
          <cell r="A15" t="str">
            <v>PDV_142025/1</v>
          </cell>
          <cell r="B15">
            <v>45658</v>
          </cell>
          <cell r="C15" t="str">
            <v>PDV_14</v>
          </cell>
          <cell r="D15" t="str">
            <v>MG</v>
          </cell>
          <cell r="E15">
            <v>29</v>
          </cell>
          <cell r="F15">
            <v>21</v>
          </cell>
          <cell r="G15">
            <v>2819.68</v>
          </cell>
          <cell r="H15">
            <v>21578.1</v>
          </cell>
          <cell r="I15">
            <v>16886.330000000002</v>
          </cell>
          <cell r="J15">
            <v>4924.38</v>
          </cell>
          <cell r="K15">
            <v>100</v>
          </cell>
          <cell r="L15">
            <v>15.22</v>
          </cell>
          <cell r="M15">
            <v>0.25</v>
          </cell>
          <cell r="N15">
            <v>11</v>
          </cell>
          <cell r="O15">
            <v>765.27</v>
          </cell>
        </row>
        <row r="16">
          <cell r="A16" t="str">
            <v>PDV_152025/1</v>
          </cell>
          <cell r="B16">
            <v>45658</v>
          </cell>
          <cell r="C16" t="str">
            <v>PDV_15</v>
          </cell>
          <cell r="D16" t="str">
            <v>PR</v>
          </cell>
          <cell r="E16">
            <v>20</v>
          </cell>
          <cell r="F16">
            <v>21</v>
          </cell>
          <cell r="G16">
            <v>2806.75</v>
          </cell>
          <cell r="H16">
            <v>13893.3</v>
          </cell>
          <cell r="I16">
            <v>9213.49</v>
          </cell>
          <cell r="J16">
            <v>4723.8599999999997</v>
          </cell>
          <cell r="K16">
            <v>100</v>
          </cell>
          <cell r="L16">
            <v>15.22</v>
          </cell>
          <cell r="M16">
            <v>0.25</v>
          </cell>
          <cell r="N16">
            <v>14</v>
          </cell>
          <cell r="O16">
            <v>495</v>
          </cell>
        </row>
        <row r="17">
          <cell r="A17" t="str">
            <v>PDV_162025/1</v>
          </cell>
          <cell r="B17">
            <v>45658</v>
          </cell>
          <cell r="C17" t="str">
            <v>PDV_16</v>
          </cell>
          <cell r="D17" t="str">
            <v>RJ</v>
          </cell>
          <cell r="E17">
            <v>41</v>
          </cell>
          <cell r="F17">
            <v>21</v>
          </cell>
          <cell r="G17">
            <v>2804.2</v>
          </cell>
          <cell r="H17">
            <v>16622.77</v>
          </cell>
          <cell r="I17">
            <v>13443.54</v>
          </cell>
          <cell r="J17">
            <v>3024.77</v>
          </cell>
          <cell r="K17">
            <v>100</v>
          </cell>
          <cell r="L17">
            <v>15.22</v>
          </cell>
          <cell r="M17">
            <v>0.25</v>
          </cell>
          <cell r="N17">
            <v>15</v>
          </cell>
          <cell r="O17">
            <v>592.78</v>
          </cell>
        </row>
        <row r="18">
          <cell r="A18" t="str">
            <v>PDV_172025/1</v>
          </cell>
          <cell r="B18">
            <v>45658</v>
          </cell>
          <cell r="C18" t="str">
            <v>PDV_17</v>
          </cell>
          <cell r="D18" t="str">
            <v>DF</v>
          </cell>
          <cell r="E18">
            <v>48</v>
          </cell>
          <cell r="F18">
            <v>21</v>
          </cell>
          <cell r="G18">
            <v>2765.02</v>
          </cell>
          <cell r="H18">
            <v>13148.64</v>
          </cell>
          <cell r="I18">
            <v>9733.1299999999992</v>
          </cell>
          <cell r="J18">
            <v>3343.49</v>
          </cell>
          <cell r="L18">
            <v>15.22</v>
          </cell>
          <cell r="M18">
            <v>0.25</v>
          </cell>
          <cell r="N18">
            <v>16</v>
          </cell>
          <cell r="O18">
            <v>475.54</v>
          </cell>
        </row>
        <row r="19">
          <cell r="A19" t="str">
            <v>PDV_182025/1</v>
          </cell>
          <cell r="B19">
            <v>45658</v>
          </cell>
          <cell r="C19" t="str">
            <v>PDV_18</v>
          </cell>
          <cell r="D19" t="str">
            <v>MG</v>
          </cell>
          <cell r="E19">
            <v>21</v>
          </cell>
          <cell r="F19">
            <v>21</v>
          </cell>
          <cell r="G19">
            <v>2625.25</v>
          </cell>
          <cell r="H19">
            <v>23419.4</v>
          </cell>
          <cell r="I19">
            <v>13415.27</v>
          </cell>
          <cell r="J19">
            <v>9966.93</v>
          </cell>
          <cell r="K19">
            <v>100</v>
          </cell>
          <cell r="L19">
            <v>15.22</v>
          </cell>
          <cell r="M19">
            <v>0.25</v>
          </cell>
          <cell r="N19">
            <v>4</v>
          </cell>
          <cell r="O19">
            <v>892.08</v>
          </cell>
        </row>
        <row r="20">
          <cell r="A20" t="str">
            <v>PDV_192025/1</v>
          </cell>
          <cell r="B20">
            <v>45658</v>
          </cell>
          <cell r="C20" t="str">
            <v>PDV_19</v>
          </cell>
          <cell r="D20" t="str">
            <v>SP</v>
          </cell>
          <cell r="E20">
            <v>14</v>
          </cell>
          <cell r="F20">
            <v>21</v>
          </cell>
          <cell r="G20">
            <v>2903.9</v>
          </cell>
          <cell r="H20">
            <v>18490.560000000001</v>
          </cell>
          <cell r="I20">
            <v>9900.58</v>
          </cell>
          <cell r="J20">
            <v>8487.33</v>
          </cell>
          <cell r="K20">
            <v>100</v>
          </cell>
          <cell r="L20">
            <v>15.22</v>
          </cell>
          <cell r="M20">
            <v>0.25</v>
          </cell>
          <cell r="N20">
            <v>7</v>
          </cell>
          <cell r="O20">
            <v>636.75</v>
          </cell>
        </row>
        <row r="21">
          <cell r="A21" t="str">
            <v>PDV_202025/1</v>
          </cell>
          <cell r="B21">
            <v>45658</v>
          </cell>
          <cell r="C21" t="str">
            <v>PDV_20</v>
          </cell>
          <cell r="D21" t="str">
            <v>PE</v>
          </cell>
          <cell r="E21">
            <v>34</v>
          </cell>
          <cell r="F21">
            <v>21</v>
          </cell>
          <cell r="G21">
            <v>3107.11</v>
          </cell>
          <cell r="H21">
            <v>16775.849999999999</v>
          </cell>
          <cell r="I21">
            <v>14626.77</v>
          </cell>
          <cell r="J21">
            <v>2134.87</v>
          </cell>
          <cell r="K21">
            <v>100</v>
          </cell>
          <cell r="L21">
            <v>15.22</v>
          </cell>
          <cell r="M21">
            <v>0.25</v>
          </cell>
          <cell r="N21">
            <v>3</v>
          </cell>
          <cell r="O21">
            <v>539.91999999999996</v>
          </cell>
        </row>
        <row r="22">
          <cell r="A22" t="str">
            <v>PDV_212025/1</v>
          </cell>
          <cell r="B22">
            <v>45658</v>
          </cell>
          <cell r="C22" t="str">
            <v>PDV_21</v>
          </cell>
          <cell r="D22" t="str">
            <v>SP</v>
          </cell>
          <cell r="E22">
            <v>27</v>
          </cell>
          <cell r="F22">
            <v>21</v>
          </cell>
          <cell r="G22">
            <v>2849.82</v>
          </cell>
          <cell r="H22">
            <v>12156.13</v>
          </cell>
          <cell r="I22">
            <v>9433.69</v>
          </cell>
          <cell r="J22">
            <v>2658.43</v>
          </cell>
          <cell r="K22">
            <v>100</v>
          </cell>
          <cell r="L22">
            <v>15.22</v>
          </cell>
          <cell r="M22">
            <v>0.25</v>
          </cell>
          <cell r="N22">
            <v>3</v>
          </cell>
          <cell r="O22">
            <v>426.56</v>
          </cell>
        </row>
        <row r="23">
          <cell r="A23" t="str">
            <v>PDV_222025/1</v>
          </cell>
          <cell r="B23">
            <v>45658</v>
          </cell>
          <cell r="C23" t="str">
            <v>PDV_22</v>
          </cell>
          <cell r="D23" t="str">
            <v>RS</v>
          </cell>
          <cell r="E23">
            <v>7</v>
          </cell>
          <cell r="F23">
            <v>21</v>
          </cell>
          <cell r="G23">
            <v>2844.74</v>
          </cell>
          <cell r="H23">
            <v>11008.74</v>
          </cell>
          <cell r="I23">
            <v>7435.51</v>
          </cell>
          <cell r="J23">
            <v>3626.88</v>
          </cell>
          <cell r="K23">
            <v>100</v>
          </cell>
          <cell r="L23">
            <v>15.22</v>
          </cell>
          <cell r="M23">
            <v>0.25</v>
          </cell>
          <cell r="N23">
            <v>2</v>
          </cell>
          <cell r="O23">
            <v>386.99</v>
          </cell>
        </row>
        <row r="24">
          <cell r="A24" t="str">
            <v>PDV_232025/1</v>
          </cell>
          <cell r="B24">
            <v>45658</v>
          </cell>
          <cell r="C24" t="str">
            <v>PDV_23</v>
          </cell>
          <cell r="D24" t="str">
            <v>RJ</v>
          </cell>
          <cell r="E24">
            <v>32</v>
          </cell>
          <cell r="F24">
            <v>21</v>
          </cell>
          <cell r="G24">
            <v>2958.17</v>
          </cell>
          <cell r="H24">
            <v>21878.44</v>
          </cell>
          <cell r="I24">
            <v>12339.79</v>
          </cell>
          <cell r="J24">
            <v>9574.4699999999993</v>
          </cell>
          <cell r="K24">
            <v>100</v>
          </cell>
          <cell r="L24">
            <v>15.22</v>
          </cell>
          <cell r="M24">
            <v>0.25</v>
          </cell>
          <cell r="N24">
            <v>12</v>
          </cell>
          <cell r="O24">
            <v>739.59</v>
          </cell>
        </row>
        <row r="25">
          <cell r="A25" t="str">
            <v>PDV_242025/1</v>
          </cell>
          <cell r="B25">
            <v>45658</v>
          </cell>
          <cell r="C25" t="str">
            <v>PDV_24</v>
          </cell>
          <cell r="D25" t="str">
            <v>PE</v>
          </cell>
          <cell r="E25">
            <v>49</v>
          </cell>
          <cell r="F25">
            <v>21</v>
          </cell>
          <cell r="G25">
            <v>2817.91</v>
          </cell>
          <cell r="H25">
            <v>15836.57</v>
          </cell>
          <cell r="I25">
            <v>9337.1200000000008</v>
          </cell>
          <cell r="J25">
            <v>6480.84</v>
          </cell>
          <cell r="K25">
            <v>100</v>
          </cell>
          <cell r="L25">
            <v>15.22</v>
          </cell>
          <cell r="M25">
            <v>0.25</v>
          </cell>
          <cell r="N25">
            <v>19</v>
          </cell>
          <cell r="O25">
            <v>562</v>
          </cell>
        </row>
        <row r="26">
          <cell r="A26" t="str">
            <v>PDV_252025/1</v>
          </cell>
          <cell r="B26">
            <v>45658</v>
          </cell>
          <cell r="C26" t="str">
            <v>PDV_25</v>
          </cell>
          <cell r="D26" t="str">
            <v>PE</v>
          </cell>
          <cell r="E26">
            <v>9</v>
          </cell>
          <cell r="F26">
            <v>21</v>
          </cell>
          <cell r="G26">
            <v>2859.41</v>
          </cell>
          <cell r="H26">
            <v>18940.34</v>
          </cell>
          <cell r="I26">
            <v>8674.1299999999992</v>
          </cell>
          <cell r="J26">
            <v>10404.23</v>
          </cell>
          <cell r="K26">
            <v>100</v>
          </cell>
          <cell r="L26">
            <v>15.22</v>
          </cell>
          <cell r="M26">
            <v>0.25</v>
          </cell>
          <cell r="N26">
            <v>10</v>
          </cell>
          <cell r="O26">
            <v>662.39</v>
          </cell>
        </row>
        <row r="27">
          <cell r="A27" t="str">
            <v>PDV_262025/1</v>
          </cell>
          <cell r="B27">
            <v>45658</v>
          </cell>
          <cell r="C27" t="str">
            <v>PDV_26</v>
          </cell>
          <cell r="D27" t="str">
            <v>SP</v>
          </cell>
          <cell r="E27">
            <v>36</v>
          </cell>
          <cell r="F27">
            <v>21</v>
          </cell>
          <cell r="G27">
            <v>2668.08</v>
          </cell>
          <cell r="H27">
            <v>23269.22</v>
          </cell>
          <cell r="I27">
            <v>14282.31</v>
          </cell>
          <cell r="J27">
            <v>8865.69</v>
          </cell>
          <cell r="K27">
            <v>100</v>
          </cell>
          <cell r="L27">
            <v>15.22</v>
          </cell>
          <cell r="M27">
            <v>0.25</v>
          </cell>
          <cell r="N27">
            <v>3</v>
          </cell>
          <cell r="O27">
            <v>872.13</v>
          </cell>
        </row>
        <row r="28">
          <cell r="A28" t="str">
            <v>PDV_272025/1</v>
          </cell>
          <cell r="B28">
            <v>45658</v>
          </cell>
          <cell r="C28" t="str">
            <v>PDV_27</v>
          </cell>
          <cell r="D28" t="str">
            <v>RS</v>
          </cell>
          <cell r="E28">
            <v>6</v>
          </cell>
          <cell r="F28">
            <v>21</v>
          </cell>
          <cell r="G28">
            <v>2851.32</v>
          </cell>
          <cell r="H28">
            <v>11278.22</v>
          </cell>
          <cell r="I28">
            <v>6546.74</v>
          </cell>
          <cell r="J28">
            <v>4869.04</v>
          </cell>
          <cell r="L28">
            <v>15.22</v>
          </cell>
          <cell r="M28">
            <v>0.25</v>
          </cell>
          <cell r="N28">
            <v>17</v>
          </cell>
          <cell r="O28">
            <v>395.54</v>
          </cell>
        </row>
        <row r="29">
          <cell r="A29" t="str">
            <v>PDV_282025/1</v>
          </cell>
          <cell r="B29">
            <v>45658</v>
          </cell>
          <cell r="C29" t="str">
            <v>PDV_28</v>
          </cell>
          <cell r="D29" t="str">
            <v>SP</v>
          </cell>
          <cell r="E29">
            <v>18</v>
          </cell>
          <cell r="F29">
            <v>21</v>
          </cell>
          <cell r="G29">
            <v>2692.36</v>
          </cell>
          <cell r="H29">
            <v>17827.07</v>
          </cell>
          <cell r="I29">
            <v>12619.62</v>
          </cell>
          <cell r="J29">
            <v>5295.21</v>
          </cell>
          <cell r="K29">
            <v>100</v>
          </cell>
          <cell r="L29">
            <v>15.22</v>
          </cell>
          <cell r="M29">
            <v>0.25</v>
          </cell>
          <cell r="N29">
            <v>6</v>
          </cell>
          <cell r="O29">
            <v>662.14</v>
          </cell>
        </row>
        <row r="30">
          <cell r="A30" t="str">
            <v>PDV_292025/1</v>
          </cell>
          <cell r="B30">
            <v>45658</v>
          </cell>
          <cell r="C30" t="str">
            <v>PDV_29</v>
          </cell>
          <cell r="D30" t="str">
            <v>MG</v>
          </cell>
          <cell r="E30">
            <v>24</v>
          </cell>
          <cell r="F30">
            <v>21</v>
          </cell>
          <cell r="G30">
            <v>3231.61</v>
          </cell>
          <cell r="H30">
            <v>19406.48</v>
          </cell>
          <cell r="I30">
            <v>15271.78</v>
          </cell>
          <cell r="J30">
            <v>4102.07</v>
          </cell>
          <cell r="K30">
            <v>100</v>
          </cell>
          <cell r="L30">
            <v>15.22</v>
          </cell>
          <cell r="M30">
            <v>0.25</v>
          </cell>
          <cell r="N30">
            <v>1</v>
          </cell>
          <cell r="O30">
            <v>600.52</v>
          </cell>
        </row>
        <row r="31">
          <cell r="A31" t="str">
            <v>PDV_302025/1</v>
          </cell>
          <cell r="B31">
            <v>45658</v>
          </cell>
          <cell r="C31" t="str">
            <v>PDV_30</v>
          </cell>
          <cell r="D31" t="str">
            <v>SP</v>
          </cell>
          <cell r="E31">
            <v>41</v>
          </cell>
          <cell r="F31">
            <v>21</v>
          </cell>
          <cell r="G31">
            <v>2558.66</v>
          </cell>
          <cell r="H31">
            <v>14317.67</v>
          </cell>
          <cell r="I31">
            <v>7840.02</v>
          </cell>
          <cell r="J31">
            <v>6451.85</v>
          </cell>
          <cell r="K31">
            <v>100</v>
          </cell>
          <cell r="L31">
            <v>15.22</v>
          </cell>
          <cell r="M31">
            <v>0.25</v>
          </cell>
          <cell r="N31">
            <v>8</v>
          </cell>
          <cell r="O31">
            <v>559.58000000000004</v>
          </cell>
        </row>
        <row r="32">
          <cell r="A32" t="str">
            <v>PDV_312025/1</v>
          </cell>
          <cell r="B32">
            <v>45658</v>
          </cell>
          <cell r="C32" t="str">
            <v>PDV_31</v>
          </cell>
          <cell r="D32" t="str">
            <v>SP</v>
          </cell>
          <cell r="E32">
            <v>9</v>
          </cell>
          <cell r="F32">
            <v>21</v>
          </cell>
          <cell r="G32">
            <v>2863.38</v>
          </cell>
          <cell r="H32">
            <v>24875.18</v>
          </cell>
          <cell r="I32">
            <v>10640.25</v>
          </cell>
          <cell r="J32">
            <v>14246.46</v>
          </cell>
          <cell r="K32">
            <v>100</v>
          </cell>
          <cell r="L32">
            <v>15.22</v>
          </cell>
          <cell r="M32">
            <v>0.25</v>
          </cell>
          <cell r="N32">
            <v>1</v>
          </cell>
          <cell r="O32">
            <v>868.73</v>
          </cell>
        </row>
        <row r="33">
          <cell r="A33" t="str">
            <v>PDV_322025/1</v>
          </cell>
          <cell r="B33">
            <v>45658</v>
          </cell>
          <cell r="C33" t="str">
            <v>PDV_32</v>
          </cell>
          <cell r="D33" t="str">
            <v>SP</v>
          </cell>
          <cell r="E33">
            <v>32</v>
          </cell>
          <cell r="F33">
            <v>21</v>
          </cell>
          <cell r="G33">
            <v>2466.1</v>
          </cell>
          <cell r="H33">
            <v>21912.99</v>
          </cell>
          <cell r="I33">
            <v>9894.5499999999993</v>
          </cell>
          <cell r="J33">
            <v>11961.65</v>
          </cell>
          <cell r="K33">
            <v>100</v>
          </cell>
          <cell r="L33">
            <v>15.22</v>
          </cell>
          <cell r="M33">
            <v>0.25</v>
          </cell>
          <cell r="N33">
            <v>18</v>
          </cell>
          <cell r="O33">
            <v>888.57</v>
          </cell>
        </row>
        <row r="34">
          <cell r="A34" t="str">
            <v>PDV_332025/1</v>
          </cell>
          <cell r="B34">
            <v>45658</v>
          </cell>
          <cell r="C34" t="str">
            <v>PDV_33</v>
          </cell>
          <cell r="D34" t="str">
            <v>MG</v>
          </cell>
          <cell r="E34">
            <v>8</v>
          </cell>
          <cell r="F34">
            <v>21</v>
          </cell>
          <cell r="G34">
            <v>2799.67</v>
          </cell>
          <cell r="H34">
            <v>12062.36</v>
          </cell>
          <cell r="I34">
            <v>6097.5</v>
          </cell>
          <cell r="J34">
            <v>6039.69</v>
          </cell>
          <cell r="K34">
            <v>100</v>
          </cell>
          <cell r="L34">
            <v>15.22</v>
          </cell>
          <cell r="M34">
            <v>0.25</v>
          </cell>
          <cell r="N34">
            <v>16</v>
          </cell>
          <cell r="O34">
            <v>430.85</v>
          </cell>
        </row>
        <row r="35">
          <cell r="A35" t="str">
            <v>PDV_342025/1</v>
          </cell>
          <cell r="B35">
            <v>45658</v>
          </cell>
          <cell r="C35" t="str">
            <v>PDV_34</v>
          </cell>
          <cell r="D35" t="str">
            <v>SP</v>
          </cell>
          <cell r="E35">
            <v>12</v>
          </cell>
          <cell r="F35">
            <v>21</v>
          </cell>
          <cell r="G35">
            <v>2817.12</v>
          </cell>
          <cell r="H35">
            <v>30622.32</v>
          </cell>
          <cell r="I35">
            <v>17573.62</v>
          </cell>
          <cell r="J35">
            <v>12993.49</v>
          </cell>
          <cell r="K35">
            <v>100</v>
          </cell>
          <cell r="L35">
            <v>15.22</v>
          </cell>
          <cell r="M35">
            <v>0.25</v>
          </cell>
          <cell r="N35">
            <v>16</v>
          </cell>
          <cell r="O35">
            <v>1087.01</v>
          </cell>
        </row>
        <row r="36">
          <cell r="A36" t="str">
            <v>PDV_352025/1</v>
          </cell>
          <cell r="B36">
            <v>45658</v>
          </cell>
          <cell r="C36" t="str">
            <v>PDV_35</v>
          </cell>
          <cell r="D36" t="str">
            <v>SP</v>
          </cell>
          <cell r="E36">
            <v>6</v>
          </cell>
          <cell r="F36">
            <v>21</v>
          </cell>
          <cell r="G36">
            <v>2761.57</v>
          </cell>
          <cell r="H36">
            <v>25128.799999999999</v>
          </cell>
          <cell r="I36">
            <v>15207.39</v>
          </cell>
          <cell r="J36">
            <v>9762.31</v>
          </cell>
          <cell r="K36">
            <v>100</v>
          </cell>
          <cell r="L36">
            <v>15.22</v>
          </cell>
          <cell r="M36">
            <v>0.25</v>
          </cell>
          <cell r="N36">
            <v>11</v>
          </cell>
          <cell r="O36">
            <v>909.95</v>
          </cell>
        </row>
        <row r="37">
          <cell r="A37" t="str">
            <v>PDV_362025/1</v>
          </cell>
          <cell r="B37">
            <v>45658</v>
          </cell>
          <cell r="C37" t="str">
            <v>PDV_36</v>
          </cell>
          <cell r="D37" t="str">
            <v>SP</v>
          </cell>
          <cell r="E37">
            <v>19</v>
          </cell>
          <cell r="F37">
            <v>21</v>
          </cell>
          <cell r="G37">
            <v>2917.63</v>
          </cell>
          <cell r="H37">
            <v>27818.19</v>
          </cell>
          <cell r="I37">
            <v>22217.22</v>
          </cell>
          <cell r="J37">
            <v>5537.79</v>
          </cell>
          <cell r="K37">
            <v>100</v>
          </cell>
          <cell r="L37">
            <v>15.22</v>
          </cell>
          <cell r="M37">
            <v>0.25</v>
          </cell>
          <cell r="N37">
            <v>11</v>
          </cell>
          <cell r="O37">
            <v>953.45</v>
          </cell>
        </row>
        <row r="38">
          <cell r="A38" t="str">
            <v>PDV_372025/1</v>
          </cell>
          <cell r="B38">
            <v>45658</v>
          </cell>
          <cell r="C38" t="str">
            <v>PDV_37</v>
          </cell>
          <cell r="D38" t="str">
            <v>PR</v>
          </cell>
          <cell r="E38">
            <v>12</v>
          </cell>
          <cell r="F38">
            <v>21</v>
          </cell>
          <cell r="G38">
            <v>2645.89</v>
          </cell>
          <cell r="H38">
            <v>22616.11</v>
          </cell>
          <cell r="I38">
            <v>15321.09</v>
          </cell>
          <cell r="J38">
            <v>7172.41</v>
          </cell>
          <cell r="K38">
            <v>100</v>
          </cell>
          <cell r="L38">
            <v>15.22</v>
          </cell>
          <cell r="M38">
            <v>0.25</v>
          </cell>
          <cell r="N38">
            <v>9</v>
          </cell>
          <cell r="O38">
            <v>854.76</v>
          </cell>
        </row>
        <row r="39">
          <cell r="A39" t="str">
            <v>PDV_382025/1</v>
          </cell>
          <cell r="B39">
            <v>45658</v>
          </cell>
          <cell r="C39" t="str">
            <v>PDV_38</v>
          </cell>
          <cell r="D39" t="str">
            <v>RS</v>
          </cell>
          <cell r="E39">
            <v>21</v>
          </cell>
          <cell r="F39">
            <v>21</v>
          </cell>
          <cell r="G39">
            <v>2932.86</v>
          </cell>
          <cell r="H39">
            <v>23197.66</v>
          </cell>
          <cell r="I39">
            <v>11232.1</v>
          </cell>
          <cell r="J39">
            <v>11723.92</v>
          </cell>
          <cell r="K39">
            <v>100</v>
          </cell>
          <cell r="L39">
            <v>15.22</v>
          </cell>
          <cell r="M39">
            <v>0.25</v>
          </cell>
          <cell r="N39">
            <v>16</v>
          </cell>
          <cell r="O39">
            <v>790.96</v>
          </cell>
        </row>
        <row r="40">
          <cell r="A40" t="str">
            <v>PDV_392025/1</v>
          </cell>
          <cell r="B40">
            <v>45658</v>
          </cell>
          <cell r="C40" t="str">
            <v>PDV_39</v>
          </cell>
          <cell r="D40" t="str">
            <v>SP</v>
          </cell>
          <cell r="E40">
            <v>7</v>
          </cell>
          <cell r="F40">
            <v>21</v>
          </cell>
          <cell r="G40">
            <v>2546.29</v>
          </cell>
          <cell r="H40">
            <v>23022.15</v>
          </cell>
          <cell r="I40">
            <v>14467.86</v>
          </cell>
          <cell r="J40">
            <v>8599.27</v>
          </cell>
          <cell r="K40">
            <v>100</v>
          </cell>
          <cell r="L40">
            <v>15.22</v>
          </cell>
          <cell r="M40">
            <v>0.25</v>
          </cell>
          <cell r="N40">
            <v>11</v>
          </cell>
          <cell r="O40">
            <v>904.14</v>
          </cell>
        </row>
        <row r="41">
          <cell r="A41" t="str">
            <v>PDV_402025/1</v>
          </cell>
          <cell r="B41">
            <v>45658</v>
          </cell>
          <cell r="C41" t="str">
            <v>PDV_40</v>
          </cell>
          <cell r="D41" t="str">
            <v>PR</v>
          </cell>
          <cell r="E41">
            <v>46</v>
          </cell>
          <cell r="F41">
            <v>21</v>
          </cell>
          <cell r="G41">
            <v>2745.25</v>
          </cell>
          <cell r="H41">
            <v>11976.66</v>
          </cell>
          <cell r="I41">
            <v>9940.58</v>
          </cell>
          <cell r="J41">
            <v>2275.44</v>
          </cell>
          <cell r="K41">
            <v>100</v>
          </cell>
          <cell r="L41">
            <v>15.22</v>
          </cell>
          <cell r="M41">
            <v>0.25</v>
          </cell>
          <cell r="N41">
            <v>7</v>
          </cell>
          <cell r="O41">
            <v>436.27</v>
          </cell>
        </row>
        <row r="42">
          <cell r="A42" t="str">
            <v>PDV_412025/1</v>
          </cell>
          <cell r="B42">
            <v>45658</v>
          </cell>
          <cell r="C42" t="str">
            <v>PDV_41</v>
          </cell>
          <cell r="D42" t="str">
            <v>MG</v>
          </cell>
          <cell r="E42">
            <v>35</v>
          </cell>
          <cell r="F42">
            <v>21</v>
          </cell>
          <cell r="G42">
            <v>2710.36</v>
          </cell>
          <cell r="H42">
            <v>15821.01</v>
          </cell>
          <cell r="I42">
            <v>8658.51</v>
          </cell>
          <cell r="J42">
            <v>7045.07</v>
          </cell>
          <cell r="K42">
            <v>100</v>
          </cell>
          <cell r="L42">
            <v>15.22</v>
          </cell>
          <cell r="M42">
            <v>0.25</v>
          </cell>
          <cell r="N42">
            <v>19</v>
          </cell>
          <cell r="O42">
            <v>583.72</v>
          </cell>
        </row>
        <row r="43">
          <cell r="A43" t="str">
            <v>PDV_422025/1</v>
          </cell>
          <cell r="B43">
            <v>45658</v>
          </cell>
          <cell r="C43" t="str">
            <v>PDV_42</v>
          </cell>
          <cell r="D43" t="str">
            <v>SP</v>
          </cell>
          <cell r="E43">
            <v>24</v>
          </cell>
          <cell r="F43">
            <v>21</v>
          </cell>
          <cell r="G43">
            <v>3090.71</v>
          </cell>
          <cell r="H43">
            <v>26549.58</v>
          </cell>
          <cell r="I43">
            <v>18644.52</v>
          </cell>
          <cell r="J43">
            <v>7707.03</v>
          </cell>
          <cell r="K43">
            <v>100</v>
          </cell>
          <cell r="L43">
            <v>15.22</v>
          </cell>
          <cell r="M43">
            <v>0.25</v>
          </cell>
          <cell r="N43">
            <v>17</v>
          </cell>
          <cell r="O43">
            <v>859.01</v>
          </cell>
        </row>
        <row r="44">
          <cell r="A44" t="str">
            <v>PDV_432025/1</v>
          </cell>
          <cell r="B44">
            <v>45658</v>
          </cell>
          <cell r="C44" t="str">
            <v>PDV_43</v>
          </cell>
          <cell r="D44" t="str">
            <v>MG</v>
          </cell>
          <cell r="E44">
            <v>39</v>
          </cell>
          <cell r="F44">
            <v>21</v>
          </cell>
          <cell r="G44">
            <v>3115.61</v>
          </cell>
          <cell r="H44">
            <v>19001.75</v>
          </cell>
          <cell r="I44">
            <v>13798.55</v>
          </cell>
          <cell r="J44">
            <v>5435.83</v>
          </cell>
          <cell r="K44">
            <v>100</v>
          </cell>
          <cell r="L44">
            <v>15.22</v>
          </cell>
          <cell r="M44">
            <v>0.25</v>
          </cell>
          <cell r="N44">
            <v>4</v>
          </cell>
          <cell r="O44">
            <v>609.89</v>
          </cell>
        </row>
        <row r="45">
          <cell r="A45" t="str">
            <v>PDV_442025/1</v>
          </cell>
          <cell r="B45">
            <v>45658</v>
          </cell>
          <cell r="C45" t="str">
            <v>PDV_44</v>
          </cell>
          <cell r="D45" t="str">
            <v>RS</v>
          </cell>
          <cell r="E45">
            <v>32</v>
          </cell>
          <cell r="F45">
            <v>21</v>
          </cell>
          <cell r="G45">
            <v>2549.54</v>
          </cell>
          <cell r="H45">
            <v>14273.64</v>
          </cell>
          <cell r="I45">
            <v>8075.78</v>
          </cell>
          <cell r="J45">
            <v>6129.77</v>
          </cell>
          <cell r="K45">
            <v>100</v>
          </cell>
          <cell r="L45">
            <v>15.22</v>
          </cell>
          <cell r="M45">
            <v>0.25</v>
          </cell>
          <cell r="N45">
            <v>14</v>
          </cell>
          <cell r="O45">
            <v>559.85</v>
          </cell>
        </row>
        <row r="46">
          <cell r="A46" t="str">
            <v>PDV_452025/1</v>
          </cell>
          <cell r="B46">
            <v>45658</v>
          </cell>
          <cell r="C46" t="str">
            <v>PDV_45</v>
          </cell>
          <cell r="D46" t="str">
            <v>PE</v>
          </cell>
          <cell r="E46">
            <v>35</v>
          </cell>
          <cell r="F46">
            <v>21</v>
          </cell>
          <cell r="H46">
            <v>28246.61</v>
          </cell>
          <cell r="I46">
            <v>17837.39</v>
          </cell>
          <cell r="J46">
            <v>10359.049999999999</v>
          </cell>
          <cell r="K46">
            <v>100</v>
          </cell>
          <cell r="L46">
            <v>15.22</v>
          </cell>
          <cell r="M46">
            <v>0.25</v>
          </cell>
          <cell r="N46">
            <v>4</v>
          </cell>
        </row>
        <row r="47">
          <cell r="A47" t="str">
            <v>PDV_462025/1</v>
          </cell>
          <cell r="B47">
            <v>45658</v>
          </cell>
          <cell r="C47" t="str">
            <v>PDV_46</v>
          </cell>
          <cell r="D47" t="str">
            <v>PE</v>
          </cell>
          <cell r="E47">
            <v>44</v>
          </cell>
          <cell r="F47">
            <v>21</v>
          </cell>
          <cell r="G47">
            <v>2685.89</v>
          </cell>
          <cell r="H47">
            <v>12868.73</v>
          </cell>
          <cell r="I47">
            <v>9409.44</v>
          </cell>
          <cell r="J47">
            <v>3552.26</v>
          </cell>
          <cell r="K47">
            <v>100</v>
          </cell>
          <cell r="L47">
            <v>15.22</v>
          </cell>
          <cell r="M47">
            <v>0.25</v>
          </cell>
          <cell r="N47">
            <v>3</v>
          </cell>
          <cell r="O47">
            <v>479.12</v>
          </cell>
        </row>
        <row r="48">
          <cell r="A48" t="str">
            <v>PDV_472025/1</v>
          </cell>
          <cell r="B48">
            <v>45658</v>
          </cell>
          <cell r="C48" t="str">
            <v>PDV_47</v>
          </cell>
          <cell r="D48" t="str">
            <v>RJ</v>
          </cell>
          <cell r="E48">
            <v>50</v>
          </cell>
          <cell r="F48">
            <v>21</v>
          </cell>
          <cell r="G48">
            <v>2831.39</v>
          </cell>
          <cell r="H48">
            <v>12198.88</v>
          </cell>
          <cell r="I48">
            <v>8927.5499999999993</v>
          </cell>
          <cell r="J48">
            <v>3428.15</v>
          </cell>
          <cell r="K48">
            <v>100</v>
          </cell>
          <cell r="L48">
            <v>15.22</v>
          </cell>
          <cell r="M48">
            <v>0.25</v>
          </cell>
          <cell r="N48">
            <v>5</v>
          </cell>
          <cell r="O48">
            <v>430.84</v>
          </cell>
        </row>
        <row r="49">
          <cell r="A49" t="str">
            <v>PDV_482025/1</v>
          </cell>
          <cell r="B49">
            <v>45658</v>
          </cell>
          <cell r="C49" t="str">
            <v>PDV_48</v>
          </cell>
          <cell r="D49" t="str">
            <v>DF</v>
          </cell>
          <cell r="E49">
            <v>43</v>
          </cell>
          <cell r="F49">
            <v>21</v>
          </cell>
          <cell r="G49">
            <v>2648.88</v>
          </cell>
          <cell r="H49">
            <v>23638.1</v>
          </cell>
          <cell r="I49">
            <v>17963.71</v>
          </cell>
          <cell r="J49">
            <v>5696.1</v>
          </cell>
          <cell r="K49">
            <v>100</v>
          </cell>
          <cell r="L49">
            <v>15.22</v>
          </cell>
          <cell r="M49">
            <v>0.25</v>
          </cell>
          <cell r="N49">
            <v>8</v>
          </cell>
          <cell r="O49">
            <v>892.38</v>
          </cell>
        </row>
        <row r="50">
          <cell r="A50" t="str">
            <v>PDV_492025/1</v>
          </cell>
          <cell r="B50">
            <v>45658</v>
          </cell>
          <cell r="C50" t="str">
            <v>PDV_49</v>
          </cell>
          <cell r="D50" t="str">
            <v>MG</v>
          </cell>
          <cell r="E50">
            <v>49</v>
          </cell>
          <cell r="F50">
            <v>21</v>
          </cell>
          <cell r="G50">
            <v>3004.68</v>
          </cell>
          <cell r="H50">
            <v>26673.29</v>
          </cell>
          <cell r="I50">
            <v>11973.54</v>
          </cell>
          <cell r="J50">
            <v>14840.55</v>
          </cell>
          <cell r="K50">
            <v>100</v>
          </cell>
          <cell r="L50">
            <v>15.22</v>
          </cell>
          <cell r="M50">
            <v>0.25</v>
          </cell>
          <cell r="N50">
            <v>10</v>
          </cell>
          <cell r="O50">
            <v>887.72</v>
          </cell>
        </row>
        <row r="51">
          <cell r="A51" t="str">
            <v>PDV_502025/1</v>
          </cell>
          <cell r="B51">
            <v>45658</v>
          </cell>
          <cell r="C51" t="str">
            <v>PDV_50</v>
          </cell>
          <cell r="D51" t="str">
            <v>RJ</v>
          </cell>
          <cell r="E51">
            <v>23</v>
          </cell>
          <cell r="F51">
            <v>21</v>
          </cell>
          <cell r="G51">
            <v>2729.38</v>
          </cell>
          <cell r="H51">
            <v>10576.49</v>
          </cell>
          <cell r="I51">
            <v>6389.18</v>
          </cell>
          <cell r="J51">
            <v>4264.8</v>
          </cell>
          <cell r="K51">
            <v>100</v>
          </cell>
          <cell r="L51">
            <v>15.22</v>
          </cell>
          <cell r="M51">
            <v>0.25</v>
          </cell>
          <cell r="N51">
            <v>13</v>
          </cell>
          <cell r="O51">
            <v>387.51</v>
          </cell>
        </row>
        <row r="52">
          <cell r="A52" t="str">
            <v>PDV_512025/1</v>
          </cell>
          <cell r="B52">
            <v>45658</v>
          </cell>
          <cell r="C52" t="str">
            <v>PDV_51</v>
          </cell>
          <cell r="D52" t="str">
            <v>MG</v>
          </cell>
          <cell r="E52">
            <v>5</v>
          </cell>
          <cell r="F52">
            <v>21</v>
          </cell>
          <cell r="G52">
            <v>2840.77</v>
          </cell>
          <cell r="H52">
            <v>18843.28</v>
          </cell>
          <cell r="I52">
            <v>14954.27</v>
          </cell>
          <cell r="J52">
            <v>3845.7</v>
          </cell>
          <cell r="K52">
            <v>100</v>
          </cell>
          <cell r="L52">
            <v>15.22</v>
          </cell>
          <cell r="M52">
            <v>0.25</v>
          </cell>
          <cell r="N52">
            <v>13</v>
          </cell>
          <cell r="O52">
            <v>663.31</v>
          </cell>
        </row>
        <row r="53">
          <cell r="A53" t="str">
            <v>PDV_522025/1</v>
          </cell>
          <cell r="B53">
            <v>45658</v>
          </cell>
          <cell r="C53" t="str">
            <v>PDV_52</v>
          </cell>
          <cell r="D53" t="str">
            <v>RJ</v>
          </cell>
          <cell r="E53">
            <v>39</v>
          </cell>
          <cell r="F53">
            <v>21</v>
          </cell>
          <cell r="G53">
            <v>2877.83</v>
          </cell>
          <cell r="H53">
            <v>22699.54</v>
          </cell>
          <cell r="I53">
            <v>18616.38</v>
          </cell>
          <cell r="J53">
            <v>4283.88</v>
          </cell>
          <cell r="K53">
            <v>100</v>
          </cell>
          <cell r="L53">
            <v>15.22</v>
          </cell>
          <cell r="M53">
            <v>0.25</v>
          </cell>
          <cell r="N53">
            <v>7</v>
          </cell>
          <cell r="O53">
            <v>788.77</v>
          </cell>
        </row>
        <row r="54">
          <cell r="A54" t="str">
            <v>PDV_532025/1</v>
          </cell>
          <cell r="B54">
            <v>45658</v>
          </cell>
          <cell r="C54" t="str">
            <v>PDV_53</v>
          </cell>
          <cell r="D54" t="str">
            <v>SP</v>
          </cell>
          <cell r="E54">
            <v>15</v>
          </cell>
          <cell r="F54">
            <v>21</v>
          </cell>
          <cell r="G54">
            <v>2901.11</v>
          </cell>
          <cell r="H54">
            <v>20668.05</v>
          </cell>
          <cell r="I54">
            <v>13837.82</v>
          </cell>
          <cell r="J54">
            <v>6799.05</v>
          </cell>
          <cell r="K54">
            <v>100</v>
          </cell>
          <cell r="L54">
            <v>15.22</v>
          </cell>
          <cell r="M54">
            <v>0.25</v>
          </cell>
          <cell r="N54">
            <v>17</v>
          </cell>
          <cell r="O54">
            <v>712.42</v>
          </cell>
        </row>
        <row r="55">
          <cell r="A55" t="str">
            <v>PDV_12025/2</v>
          </cell>
          <cell r="B55">
            <v>45689</v>
          </cell>
          <cell r="C55" t="str">
            <v>PDV_1</v>
          </cell>
          <cell r="D55" t="str">
            <v>BA</v>
          </cell>
          <cell r="E55">
            <v>13</v>
          </cell>
          <cell r="F55">
            <v>20</v>
          </cell>
          <cell r="G55">
            <v>2866.05</v>
          </cell>
          <cell r="H55">
            <v>18525.830000000002</v>
          </cell>
          <cell r="I55">
            <v>14951.28</v>
          </cell>
          <cell r="J55">
            <v>3465.69</v>
          </cell>
          <cell r="K55">
            <v>100</v>
          </cell>
          <cell r="L55">
            <v>15.23</v>
          </cell>
          <cell r="M55">
            <v>0.34</v>
          </cell>
          <cell r="N55">
            <v>13</v>
          </cell>
          <cell r="O55">
            <v>646.39</v>
          </cell>
        </row>
        <row r="56">
          <cell r="A56" t="str">
            <v>PDV_22025/2</v>
          </cell>
          <cell r="B56">
            <v>45689</v>
          </cell>
          <cell r="C56" t="str">
            <v>PDV_2</v>
          </cell>
          <cell r="D56" t="str">
            <v>MG</v>
          </cell>
          <cell r="E56">
            <v>29</v>
          </cell>
          <cell r="F56">
            <v>20</v>
          </cell>
          <cell r="G56">
            <v>2775.8</v>
          </cell>
          <cell r="H56">
            <v>23005.59</v>
          </cell>
          <cell r="I56">
            <v>15076.87</v>
          </cell>
          <cell r="J56">
            <v>7973.06</v>
          </cell>
          <cell r="K56">
            <v>100</v>
          </cell>
          <cell r="L56">
            <v>15.23</v>
          </cell>
          <cell r="M56">
            <v>0.34</v>
          </cell>
          <cell r="N56">
            <v>13</v>
          </cell>
          <cell r="O56">
            <v>828.79</v>
          </cell>
        </row>
        <row r="57">
          <cell r="A57" t="str">
            <v>PDV_32025/2</v>
          </cell>
          <cell r="B57">
            <v>45689</v>
          </cell>
          <cell r="C57" t="str">
            <v>PDV_3</v>
          </cell>
          <cell r="D57" t="str">
            <v>PE</v>
          </cell>
          <cell r="E57">
            <v>8</v>
          </cell>
          <cell r="F57">
            <v>20</v>
          </cell>
          <cell r="G57">
            <v>2854.78</v>
          </cell>
          <cell r="H57">
            <v>18084.93</v>
          </cell>
          <cell r="I57">
            <v>13682.63</v>
          </cell>
          <cell r="J57">
            <v>4523.57</v>
          </cell>
          <cell r="K57">
            <v>100</v>
          </cell>
          <cell r="L57">
            <v>15.23</v>
          </cell>
          <cell r="M57">
            <v>0.34</v>
          </cell>
          <cell r="N57">
            <v>20</v>
          </cell>
          <cell r="O57">
            <v>633.5</v>
          </cell>
        </row>
        <row r="58">
          <cell r="A58" t="str">
            <v>PDV_42025/2</v>
          </cell>
          <cell r="B58">
            <v>45689</v>
          </cell>
          <cell r="C58" t="str">
            <v>PDV_4</v>
          </cell>
          <cell r="D58" t="str">
            <v>SP</v>
          </cell>
          <cell r="E58">
            <v>44</v>
          </cell>
          <cell r="F58">
            <v>20</v>
          </cell>
          <cell r="G58">
            <v>2992.1</v>
          </cell>
          <cell r="H58">
            <v>26604.94</v>
          </cell>
          <cell r="I58">
            <v>16430.41</v>
          </cell>
          <cell r="K58">
            <v>100</v>
          </cell>
          <cell r="L58">
            <v>15.23</v>
          </cell>
          <cell r="M58">
            <v>0.34</v>
          </cell>
          <cell r="N58">
            <v>11</v>
          </cell>
          <cell r="O58">
            <v>889.17</v>
          </cell>
        </row>
        <row r="59">
          <cell r="A59" t="str">
            <v>PDV_52025/2</v>
          </cell>
          <cell r="B59">
            <v>45689</v>
          </cell>
          <cell r="C59" t="str">
            <v>PDV_5</v>
          </cell>
          <cell r="D59" t="str">
            <v>PE</v>
          </cell>
          <cell r="E59">
            <v>28</v>
          </cell>
          <cell r="F59">
            <v>20</v>
          </cell>
          <cell r="G59">
            <v>2864.05</v>
          </cell>
          <cell r="H59">
            <v>14309.46</v>
          </cell>
          <cell r="I59">
            <v>6998.98</v>
          </cell>
          <cell r="J59">
            <v>7365.76</v>
          </cell>
          <cell r="K59">
            <v>100</v>
          </cell>
          <cell r="L59">
            <v>15.23</v>
          </cell>
          <cell r="M59">
            <v>0.34</v>
          </cell>
          <cell r="N59">
            <v>6</v>
          </cell>
          <cell r="O59">
            <v>499.62</v>
          </cell>
        </row>
        <row r="60">
          <cell r="A60" t="str">
            <v>PDV_62025/2</v>
          </cell>
          <cell r="B60">
            <v>45689</v>
          </cell>
          <cell r="C60" t="str">
            <v>PDV_6</v>
          </cell>
          <cell r="D60" t="str">
            <v>RS</v>
          </cell>
          <cell r="E60">
            <v>20</v>
          </cell>
          <cell r="F60">
            <v>20</v>
          </cell>
          <cell r="G60">
            <v>2732.26</v>
          </cell>
          <cell r="H60">
            <v>12985.11</v>
          </cell>
          <cell r="I60">
            <v>8019.87</v>
          </cell>
          <cell r="J60">
            <v>5000.2299999999996</v>
          </cell>
          <cell r="K60">
            <v>100</v>
          </cell>
          <cell r="L60">
            <v>15.23</v>
          </cell>
          <cell r="M60">
            <v>0.34</v>
          </cell>
          <cell r="N60">
            <v>15</v>
          </cell>
          <cell r="O60">
            <v>475.25</v>
          </cell>
        </row>
        <row r="61">
          <cell r="A61" t="str">
            <v>PDV_72025/2</v>
          </cell>
          <cell r="B61">
            <v>45689</v>
          </cell>
          <cell r="C61" t="str">
            <v>PDV_7</v>
          </cell>
          <cell r="D61" t="str">
            <v>RJ</v>
          </cell>
          <cell r="E61">
            <v>15</v>
          </cell>
          <cell r="F61">
            <v>20</v>
          </cell>
          <cell r="G61">
            <v>2526.6999999999998</v>
          </cell>
          <cell r="H61">
            <v>17302.95</v>
          </cell>
          <cell r="I61">
            <v>12201.26</v>
          </cell>
          <cell r="J61">
            <v>5134.01</v>
          </cell>
          <cell r="K61">
            <v>100</v>
          </cell>
          <cell r="L61">
            <v>15.23</v>
          </cell>
          <cell r="M61">
            <v>0.34</v>
          </cell>
          <cell r="N61">
            <v>17</v>
          </cell>
          <cell r="O61">
            <v>684.81</v>
          </cell>
        </row>
        <row r="62">
          <cell r="A62" t="str">
            <v>PDV_82025/2</v>
          </cell>
          <cell r="B62">
            <v>45689</v>
          </cell>
          <cell r="C62" t="str">
            <v>PDV_8</v>
          </cell>
          <cell r="D62" t="str">
            <v>SP</v>
          </cell>
          <cell r="E62">
            <v>35</v>
          </cell>
          <cell r="F62">
            <v>20</v>
          </cell>
          <cell r="G62">
            <v>2655.28</v>
          </cell>
          <cell r="H62">
            <v>15456.04</v>
          </cell>
          <cell r="I62">
            <v>13002.55</v>
          </cell>
          <cell r="J62">
            <v>2412.9699999999998</v>
          </cell>
          <cell r="K62">
            <v>100</v>
          </cell>
          <cell r="L62">
            <v>15.23</v>
          </cell>
          <cell r="M62">
            <v>0.34</v>
          </cell>
          <cell r="N62">
            <v>1</v>
          </cell>
          <cell r="O62">
            <v>582.09</v>
          </cell>
        </row>
        <row r="63">
          <cell r="A63" t="str">
            <v>PDV_92025/2</v>
          </cell>
          <cell r="B63">
            <v>45689</v>
          </cell>
          <cell r="C63" t="str">
            <v>PDV_9</v>
          </cell>
          <cell r="D63" t="str">
            <v>DF</v>
          </cell>
          <cell r="E63">
            <v>39</v>
          </cell>
          <cell r="F63">
            <v>20</v>
          </cell>
          <cell r="G63">
            <v>2706.17</v>
          </cell>
          <cell r="H63">
            <v>17785.05</v>
          </cell>
          <cell r="I63">
            <v>9194.73</v>
          </cell>
          <cell r="J63">
            <v>8738.19</v>
          </cell>
          <cell r="L63">
            <v>15.23</v>
          </cell>
          <cell r="M63">
            <v>0.34</v>
          </cell>
          <cell r="N63">
            <v>4</v>
          </cell>
          <cell r="O63">
            <v>657.2</v>
          </cell>
        </row>
        <row r="64">
          <cell r="A64" t="str">
            <v>PDV_102025/2</v>
          </cell>
          <cell r="B64">
            <v>45689</v>
          </cell>
          <cell r="C64" t="str">
            <v>PDV_10</v>
          </cell>
          <cell r="D64" t="str">
            <v>SP</v>
          </cell>
          <cell r="E64">
            <v>7</v>
          </cell>
          <cell r="F64">
            <v>20</v>
          </cell>
          <cell r="G64">
            <v>2552.0300000000002</v>
          </cell>
          <cell r="H64">
            <v>12135.56</v>
          </cell>
          <cell r="I64">
            <v>7610.82</v>
          </cell>
          <cell r="J64">
            <v>4430.45</v>
          </cell>
          <cell r="K64">
            <v>100</v>
          </cell>
          <cell r="L64">
            <v>15.23</v>
          </cell>
          <cell r="M64">
            <v>0.34</v>
          </cell>
          <cell r="N64">
            <v>7</v>
          </cell>
          <cell r="O64">
            <v>475.53</v>
          </cell>
        </row>
        <row r="65">
          <cell r="A65" t="str">
            <v>PDV_112025/2</v>
          </cell>
          <cell r="B65">
            <v>45689</v>
          </cell>
          <cell r="C65" t="str">
            <v>PDV_11</v>
          </cell>
          <cell r="D65" t="str">
            <v>PE</v>
          </cell>
          <cell r="E65">
            <v>39</v>
          </cell>
          <cell r="F65">
            <v>20</v>
          </cell>
          <cell r="G65">
            <v>2764.13</v>
          </cell>
          <cell r="H65">
            <v>12171.43</v>
          </cell>
          <cell r="I65">
            <v>8032.59</v>
          </cell>
          <cell r="J65">
            <v>4258.76</v>
          </cell>
          <cell r="K65">
            <v>100</v>
          </cell>
          <cell r="L65">
            <v>15.23</v>
          </cell>
          <cell r="M65">
            <v>0.34</v>
          </cell>
          <cell r="N65">
            <v>20</v>
          </cell>
          <cell r="O65">
            <v>440.34</v>
          </cell>
        </row>
        <row r="66">
          <cell r="A66" t="str">
            <v>PDV_122025/2</v>
          </cell>
          <cell r="B66">
            <v>45689</v>
          </cell>
          <cell r="C66" t="str">
            <v>PDV_12</v>
          </cell>
          <cell r="D66" t="str">
            <v>BA</v>
          </cell>
          <cell r="E66">
            <v>19</v>
          </cell>
          <cell r="F66">
            <v>20</v>
          </cell>
          <cell r="G66">
            <v>2858.48</v>
          </cell>
          <cell r="H66">
            <v>17158.57</v>
          </cell>
          <cell r="I66">
            <v>14260.19</v>
          </cell>
          <cell r="J66">
            <v>2991.38</v>
          </cell>
          <cell r="L66">
            <v>15.23</v>
          </cell>
          <cell r="M66">
            <v>0.34</v>
          </cell>
          <cell r="N66">
            <v>18</v>
          </cell>
          <cell r="O66">
            <v>600.27</v>
          </cell>
        </row>
        <row r="67">
          <cell r="A67" t="str">
            <v>PDV_132025/2</v>
          </cell>
          <cell r="B67">
            <v>45689</v>
          </cell>
          <cell r="C67" t="str">
            <v>PDV_13</v>
          </cell>
          <cell r="D67" t="str">
            <v>RJ</v>
          </cell>
          <cell r="E67">
            <v>39</v>
          </cell>
          <cell r="F67">
            <v>20</v>
          </cell>
          <cell r="G67">
            <v>2945.22</v>
          </cell>
          <cell r="H67">
            <v>19868.98</v>
          </cell>
          <cell r="I67">
            <v>13580.64</v>
          </cell>
          <cell r="J67">
            <v>6519.01</v>
          </cell>
          <cell r="K67">
            <v>100</v>
          </cell>
          <cell r="L67">
            <v>15.23</v>
          </cell>
          <cell r="M67">
            <v>0.34</v>
          </cell>
          <cell r="N67">
            <v>17</v>
          </cell>
          <cell r="O67">
            <v>674.62</v>
          </cell>
        </row>
        <row r="68">
          <cell r="A68" t="str">
            <v>PDV_142025/2</v>
          </cell>
          <cell r="B68">
            <v>45689</v>
          </cell>
          <cell r="C68" t="str">
            <v>PDV_14</v>
          </cell>
          <cell r="D68" t="str">
            <v>MG</v>
          </cell>
          <cell r="E68">
            <v>29</v>
          </cell>
          <cell r="F68">
            <v>20</v>
          </cell>
          <cell r="G68">
            <v>2899.79</v>
          </cell>
          <cell r="H68">
            <v>21054.92</v>
          </cell>
          <cell r="I68">
            <v>16036.52</v>
          </cell>
          <cell r="J68">
            <v>5036.6400000000003</v>
          </cell>
          <cell r="K68">
            <v>100</v>
          </cell>
          <cell r="L68">
            <v>15.23</v>
          </cell>
          <cell r="M68">
            <v>0.34</v>
          </cell>
          <cell r="N68">
            <v>4</v>
          </cell>
          <cell r="O68">
            <v>726.08</v>
          </cell>
        </row>
        <row r="69">
          <cell r="A69" t="str">
            <v>PDV_152025/2</v>
          </cell>
          <cell r="B69">
            <v>45689</v>
          </cell>
          <cell r="C69" t="str">
            <v>PDV_15</v>
          </cell>
          <cell r="D69" t="str">
            <v>PR</v>
          </cell>
          <cell r="E69">
            <v>20</v>
          </cell>
          <cell r="F69">
            <v>20</v>
          </cell>
          <cell r="G69">
            <v>2955.31</v>
          </cell>
          <cell r="H69">
            <v>12706.93</v>
          </cell>
          <cell r="I69">
            <v>6554.54</v>
          </cell>
          <cell r="J69">
            <v>5971.98</v>
          </cell>
          <cell r="K69">
            <v>100</v>
          </cell>
          <cell r="L69">
            <v>15.23</v>
          </cell>
          <cell r="M69">
            <v>0.34</v>
          </cell>
          <cell r="N69">
            <v>1</v>
          </cell>
          <cell r="O69">
            <v>429.97</v>
          </cell>
        </row>
        <row r="70">
          <cell r="A70" t="str">
            <v>PDV_162025/2</v>
          </cell>
          <cell r="B70">
            <v>45689</v>
          </cell>
          <cell r="C70" t="str">
            <v>PDV_16</v>
          </cell>
          <cell r="D70" t="str">
            <v>RJ</v>
          </cell>
          <cell r="E70">
            <v>41</v>
          </cell>
          <cell r="F70">
            <v>20</v>
          </cell>
          <cell r="G70">
            <v>2582.75</v>
          </cell>
          <cell r="H70">
            <v>13931.57</v>
          </cell>
          <cell r="I70">
            <v>9756.3799999999992</v>
          </cell>
          <cell r="J70">
            <v>4136.54</v>
          </cell>
          <cell r="K70">
            <v>100</v>
          </cell>
          <cell r="L70">
            <v>15.23</v>
          </cell>
          <cell r="M70">
            <v>0.34</v>
          </cell>
          <cell r="N70">
            <v>20</v>
          </cell>
          <cell r="O70">
            <v>539.41</v>
          </cell>
        </row>
        <row r="71">
          <cell r="A71" t="str">
            <v>PDV_172025/2</v>
          </cell>
          <cell r="B71">
            <v>45689</v>
          </cell>
          <cell r="C71" t="str">
            <v>PDV_17</v>
          </cell>
          <cell r="D71" t="str">
            <v>DF</v>
          </cell>
          <cell r="E71">
            <v>48</v>
          </cell>
          <cell r="F71">
            <v>20</v>
          </cell>
          <cell r="G71">
            <v>2815.02</v>
          </cell>
          <cell r="H71">
            <v>18406.04</v>
          </cell>
          <cell r="I71">
            <v>12571.16</v>
          </cell>
          <cell r="J71">
            <v>5840.01</v>
          </cell>
          <cell r="K71">
            <v>100</v>
          </cell>
          <cell r="L71">
            <v>15.23</v>
          </cell>
          <cell r="M71">
            <v>0.34</v>
          </cell>
          <cell r="N71">
            <v>4</v>
          </cell>
          <cell r="O71">
            <v>653.85</v>
          </cell>
        </row>
        <row r="72">
          <cell r="A72" t="str">
            <v>PDV_182025/2</v>
          </cell>
          <cell r="B72">
            <v>45689</v>
          </cell>
          <cell r="C72" t="str">
            <v>PDV_18</v>
          </cell>
          <cell r="D72" t="str">
            <v>MG</v>
          </cell>
          <cell r="E72">
            <v>21</v>
          </cell>
          <cell r="F72">
            <v>20</v>
          </cell>
          <cell r="G72">
            <v>2738.53</v>
          </cell>
          <cell r="H72">
            <v>21016.07</v>
          </cell>
          <cell r="I72">
            <v>13919.77</v>
          </cell>
          <cell r="J72">
            <v>6941.39</v>
          </cell>
          <cell r="K72">
            <v>100</v>
          </cell>
          <cell r="L72">
            <v>15.23</v>
          </cell>
          <cell r="M72">
            <v>0.34</v>
          </cell>
          <cell r="N72">
            <v>12</v>
          </cell>
          <cell r="O72">
            <v>767.42</v>
          </cell>
        </row>
        <row r="73">
          <cell r="A73" t="str">
            <v>PDV_192025/2</v>
          </cell>
          <cell r="B73">
            <v>45689</v>
          </cell>
          <cell r="C73" t="str">
            <v>PDV_19</v>
          </cell>
          <cell r="D73" t="str">
            <v>SP</v>
          </cell>
          <cell r="E73">
            <v>14</v>
          </cell>
          <cell r="F73">
            <v>20</v>
          </cell>
          <cell r="G73">
            <v>2786.45</v>
          </cell>
          <cell r="H73">
            <v>13915.32</v>
          </cell>
          <cell r="I73">
            <v>8548.2099999999991</v>
          </cell>
          <cell r="J73">
            <v>5337.48</v>
          </cell>
          <cell r="K73">
            <v>100</v>
          </cell>
          <cell r="L73">
            <v>15.23</v>
          </cell>
          <cell r="M73">
            <v>0.34</v>
          </cell>
          <cell r="N73">
            <v>16</v>
          </cell>
          <cell r="O73">
            <v>499.39</v>
          </cell>
        </row>
        <row r="74">
          <cell r="A74" t="str">
            <v>PDV_202025/2</v>
          </cell>
          <cell r="B74">
            <v>45689</v>
          </cell>
          <cell r="C74" t="str">
            <v>PDV_20</v>
          </cell>
          <cell r="D74" t="str">
            <v>PE</v>
          </cell>
          <cell r="E74">
            <v>34</v>
          </cell>
          <cell r="F74">
            <v>20</v>
          </cell>
          <cell r="G74">
            <v>2767.43</v>
          </cell>
          <cell r="H74">
            <v>21179.61</v>
          </cell>
          <cell r="I74">
            <v>12347.85</v>
          </cell>
          <cell r="J74">
            <v>8849.4500000000007</v>
          </cell>
          <cell r="K74">
            <v>100</v>
          </cell>
          <cell r="L74">
            <v>15.23</v>
          </cell>
          <cell r="M74">
            <v>0.34</v>
          </cell>
          <cell r="N74">
            <v>14</v>
          </cell>
          <cell r="O74">
            <v>765.32</v>
          </cell>
        </row>
        <row r="75">
          <cell r="A75" t="str">
            <v>PDV_212025/2</v>
          </cell>
          <cell r="B75">
            <v>45689</v>
          </cell>
          <cell r="C75" t="str">
            <v>PDV_21</v>
          </cell>
          <cell r="D75" t="str">
            <v>SP</v>
          </cell>
          <cell r="E75">
            <v>27</v>
          </cell>
          <cell r="F75">
            <v>20</v>
          </cell>
          <cell r="G75">
            <v>2857.06</v>
          </cell>
          <cell r="H75">
            <v>16139.65</v>
          </cell>
          <cell r="I75">
            <v>12582.74</v>
          </cell>
          <cell r="J75">
            <v>3604.45</v>
          </cell>
          <cell r="K75">
            <v>100</v>
          </cell>
          <cell r="L75">
            <v>15.23</v>
          </cell>
          <cell r="M75">
            <v>0.34</v>
          </cell>
          <cell r="N75">
            <v>6</v>
          </cell>
          <cell r="O75">
            <v>564.9</v>
          </cell>
        </row>
        <row r="76">
          <cell r="A76" t="str">
            <v>PDV_222025/2</v>
          </cell>
          <cell r="B76">
            <v>45689</v>
          </cell>
          <cell r="C76" t="str">
            <v>PDV_22</v>
          </cell>
          <cell r="D76" t="str">
            <v>RS</v>
          </cell>
          <cell r="E76">
            <v>7</v>
          </cell>
          <cell r="F76">
            <v>20</v>
          </cell>
          <cell r="G76">
            <v>3003.33</v>
          </cell>
          <cell r="H76">
            <v>27774.73</v>
          </cell>
          <cell r="I76">
            <v>15450.6</v>
          </cell>
          <cell r="J76">
            <v>12321.2</v>
          </cell>
          <cell r="K76">
            <v>100</v>
          </cell>
          <cell r="L76">
            <v>15.23</v>
          </cell>
          <cell r="M76">
            <v>0.34</v>
          </cell>
          <cell r="N76">
            <v>12</v>
          </cell>
          <cell r="O76">
            <v>924.8</v>
          </cell>
        </row>
        <row r="77">
          <cell r="A77" t="str">
            <v>PDV_232025/2</v>
          </cell>
          <cell r="B77">
            <v>45689</v>
          </cell>
          <cell r="C77" t="str">
            <v>PDV_23</v>
          </cell>
          <cell r="D77" t="str">
            <v>RJ</v>
          </cell>
          <cell r="E77">
            <v>32</v>
          </cell>
          <cell r="F77">
            <v>20</v>
          </cell>
          <cell r="G77">
            <v>2993.56</v>
          </cell>
          <cell r="H77">
            <v>21415.94</v>
          </cell>
          <cell r="I77">
            <v>14195.27</v>
          </cell>
          <cell r="J77">
            <v>7274.32</v>
          </cell>
          <cell r="K77">
            <v>100</v>
          </cell>
          <cell r="L77">
            <v>15.23</v>
          </cell>
          <cell r="M77">
            <v>0.34</v>
          </cell>
          <cell r="N77">
            <v>14</v>
          </cell>
          <cell r="O77">
            <v>715.4</v>
          </cell>
        </row>
        <row r="78">
          <cell r="A78" t="str">
            <v>PDV_242025/2</v>
          </cell>
          <cell r="B78">
            <v>45689</v>
          </cell>
          <cell r="C78" t="str">
            <v>PDV_24</v>
          </cell>
          <cell r="D78" t="str">
            <v>PE</v>
          </cell>
          <cell r="E78">
            <v>49</v>
          </cell>
          <cell r="F78">
            <v>20</v>
          </cell>
          <cell r="G78">
            <v>2913.57</v>
          </cell>
          <cell r="H78">
            <v>14081.77</v>
          </cell>
          <cell r="I78">
            <v>8867.67</v>
          </cell>
          <cell r="J78">
            <v>5169.34</v>
          </cell>
          <cell r="K78">
            <v>100</v>
          </cell>
          <cell r="L78">
            <v>15.23</v>
          </cell>
          <cell r="M78">
            <v>0.34</v>
          </cell>
          <cell r="N78">
            <v>3</v>
          </cell>
          <cell r="O78">
            <v>483.32</v>
          </cell>
        </row>
        <row r="79">
          <cell r="A79" t="str">
            <v>PDV_252025/2</v>
          </cell>
          <cell r="B79">
            <v>45689</v>
          </cell>
          <cell r="C79" t="str">
            <v>PDV_25</v>
          </cell>
          <cell r="D79" t="str">
            <v>PE</v>
          </cell>
          <cell r="E79">
            <v>9</v>
          </cell>
          <cell r="F79">
            <v>20</v>
          </cell>
          <cell r="G79">
            <v>2759.36</v>
          </cell>
          <cell r="H79">
            <v>24052.720000000001</v>
          </cell>
          <cell r="I79">
            <v>19563.02</v>
          </cell>
          <cell r="J79">
            <v>4576.67</v>
          </cell>
          <cell r="L79">
            <v>15.23</v>
          </cell>
          <cell r="M79">
            <v>0.34</v>
          </cell>
          <cell r="N79">
            <v>1</v>
          </cell>
          <cell r="O79">
            <v>871.68</v>
          </cell>
        </row>
        <row r="80">
          <cell r="A80" t="str">
            <v>PDV_262025/2</v>
          </cell>
          <cell r="B80">
            <v>45689</v>
          </cell>
          <cell r="C80" t="str">
            <v>PDV_26</v>
          </cell>
          <cell r="D80" t="str">
            <v>SP</v>
          </cell>
          <cell r="E80">
            <v>36</v>
          </cell>
          <cell r="F80">
            <v>20</v>
          </cell>
          <cell r="G80">
            <v>2683.7</v>
          </cell>
          <cell r="H80">
            <v>11490.88</v>
          </cell>
          <cell r="I80">
            <v>6830.26</v>
          </cell>
          <cell r="J80">
            <v>4566.75</v>
          </cell>
          <cell r="K80">
            <v>100</v>
          </cell>
          <cell r="L80">
            <v>15.23</v>
          </cell>
          <cell r="M80">
            <v>0.34</v>
          </cell>
          <cell r="N80">
            <v>9</v>
          </cell>
          <cell r="O80">
            <v>428.17</v>
          </cell>
        </row>
        <row r="81">
          <cell r="A81" t="str">
            <v>PDV_272025/2</v>
          </cell>
          <cell r="B81">
            <v>45689</v>
          </cell>
          <cell r="C81" t="str">
            <v>PDV_27</v>
          </cell>
          <cell r="D81" t="str">
            <v>RS</v>
          </cell>
          <cell r="E81">
            <v>6</v>
          </cell>
          <cell r="F81">
            <v>20</v>
          </cell>
          <cell r="G81">
            <v>2828.51</v>
          </cell>
          <cell r="H81">
            <v>11932.69</v>
          </cell>
          <cell r="I81">
            <v>6564.63</v>
          </cell>
          <cell r="J81">
            <v>5428.18</v>
          </cell>
          <cell r="K81">
            <v>100</v>
          </cell>
          <cell r="L81">
            <v>15.23</v>
          </cell>
          <cell r="M81">
            <v>0.34</v>
          </cell>
          <cell r="N81">
            <v>10</v>
          </cell>
          <cell r="O81">
            <v>421.87</v>
          </cell>
        </row>
        <row r="82">
          <cell r="A82" t="str">
            <v>PDV_282025/2</v>
          </cell>
          <cell r="B82">
            <v>45689</v>
          </cell>
          <cell r="C82" t="str">
            <v>PDV_28</v>
          </cell>
          <cell r="D82" t="str">
            <v>SP</v>
          </cell>
          <cell r="E82">
            <v>18</v>
          </cell>
          <cell r="F82">
            <v>20</v>
          </cell>
          <cell r="G82">
            <v>2917.84</v>
          </cell>
          <cell r="H82">
            <v>11373.17</v>
          </cell>
          <cell r="I82">
            <v>10069.379999999999</v>
          </cell>
          <cell r="J82">
            <v>1317.58</v>
          </cell>
          <cell r="K82">
            <v>100</v>
          </cell>
          <cell r="L82">
            <v>15.23</v>
          </cell>
          <cell r="M82">
            <v>0.34</v>
          </cell>
          <cell r="N82">
            <v>18</v>
          </cell>
          <cell r="O82">
            <v>389.78</v>
          </cell>
        </row>
        <row r="83">
          <cell r="A83" t="str">
            <v>PDV_292025/2</v>
          </cell>
          <cell r="B83">
            <v>45689</v>
          </cell>
          <cell r="C83" t="str">
            <v>PDV_29</v>
          </cell>
          <cell r="D83" t="str">
            <v>MG</v>
          </cell>
          <cell r="E83">
            <v>24</v>
          </cell>
          <cell r="F83">
            <v>20</v>
          </cell>
          <cell r="G83">
            <v>3026.81</v>
          </cell>
          <cell r="H83">
            <v>25140.89</v>
          </cell>
          <cell r="I83">
            <v>20768.73</v>
          </cell>
          <cell r="J83">
            <v>4258.3999999999996</v>
          </cell>
          <cell r="K83">
            <v>100</v>
          </cell>
          <cell r="L83">
            <v>15.23</v>
          </cell>
          <cell r="M83">
            <v>0.34</v>
          </cell>
          <cell r="N83">
            <v>9</v>
          </cell>
          <cell r="O83">
            <v>830.61</v>
          </cell>
        </row>
        <row r="84">
          <cell r="A84" t="str">
            <v>PDV_302025/2</v>
          </cell>
          <cell r="B84">
            <v>45689</v>
          </cell>
          <cell r="C84" t="str">
            <v>PDV_30</v>
          </cell>
          <cell r="D84" t="str">
            <v>SP</v>
          </cell>
          <cell r="E84">
            <v>41</v>
          </cell>
          <cell r="F84">
            <v>20</v>
          </cell>
          <cell r="G84">
            <v>2723.89</v>
          </cell>
          <cell r="H84">
            <v>20039.349999999999</v>
          </cell>
          <cell r="I84">
            <v>15063.31</v>
          </cell>
          <cell r="J84">
            <v>5032.71</v>
          </cell>
          <cell r="K84">
            <v>100</v>
          </cell>
          <cell r="L84">
            <v>15.23</v>
          </cell>
          <cell r="M84">
            <v>0.34</v>
          </cell>
          <cell r="N84">
            <v>14</v>
          </cell>
          <cell r="O84">
            <v>735.69</v>
          </cell>
        </row>
        <row r="85">
          <cell r="A85" t="str">
            <v>PDV_312025/2</v>
          </cell>
          <cell r="B85">
            <v>45689</v>
          </cell>
          <cell r="C85" t="str">
            <v>PDV_31</v>
          </cell>
          <cell r="D85" t="str">
            <v>SP</v>
          </cell>
          <cell r="E85">
            <v>9</v>
          </cell>
          <cell r="F85">
            <v>20</v>
          </cell>
          <cell r="G85">
            <v>2789.1</v>
          </cell>
          <cell r="H85">
            <v>25213.55</v>
          </cell>
          <cell r="I85">
            <v>18472.78</v>
          </cell>
          <cell r="J85">
            <v>6705.41</v>
          </cell>
          <cell r="K85">
            <v>100</v>
          </cell>
          <cell r="L85">
            <v>15.23</v>
          </cell>
          <cell r="M85">
            <v>0.34</v>
          </cell>
          <cell r="N85">
            <v>17</v>
          </cell>
          <cell r="O85">
            <v>904</v>
          </cell>
        </row>
        <row r="86">
          <cell r="A86" t="str">
            <v>PDV_322025/2</v>
          </cell>
          <cell r="B86">
            <v>45689</v>
          </cell>
          <cell r="C86" t="str">
            <v>PDV_32</v>
          </cell>
          <cell r="D86" t="str">
            <v>SP</v>
          </cell>
          <cell r="E86">
            <v>32</v>
          </cell>
          <cell r="F86">
            <v>20</v>
          </cell>
          <cell r="G86">
            <v>2559.5500000000002</v>
          </cell>
          <cell r="H86">
            <v>22674.77</v>
          </cell>
          <cell r="I86">
            <v>19465.599999999999</v>
          </cell>
          <cell r="J86">
            <v>3337.44</v>
          </cell>
          <cell r="K86">
            <v>100</v>
          </cell>
          <cell r="L86">
            <v>15.23</v>
          </cell>
          <cell r="M86">
            <v>0.34</v>
          </cell>
          <cell r="N86">
            <v>5</v>
          </cell>
          <cell r="O86">
            <v>885.89</v>
          </cell>
        </row>
        <row r="87">
          <cell r="A87" t="str">
            <v>PDV_332025/2</v>
          </cell>
          <cell r="B87">
            <v>45689</v>
          </cell>
          <cell r="C87" t="str">
            <v>PDV_33</v>
          </cell>
          <cell r="D87" t="str">
            <v>MG</v>
          </cell>
          <cell r="E87">
            <v>8</v>
          </cell>
          <cell r="F87">
            <v>20</v>
          </cell>
          <cell r="G87">
            <v>2847.07</v>
          </cell>
          <cell r="H87">
            <v>22700.45</v>
          </cell>
          <cell r="I87">
            <v>13401.58</v>
          </cell>
          <cell r="J87">
            <v>9121.0499999999993</v>
          </cell>
          <cell r="K87">
            <v>100</v>
          </cell>
          <cell r="L87">
            <v>15.23</v>
          </cell>
          <cell r="M87">
            <v>0.34</v>
          </cell>
          <cell r="N87">
            <v>17</v>
          </cell>
          <cell r="O87">
            <v>797.33</v>
          </cell>
        </row>
        <row r="88">
          <cell r="A88" t="str">
            <v>PDV_342025/2</v>
          </cell>
          <cell r="B88">
            <v>45689</v>
          </cell>
          <cell r="C88" t="str">
            <v>PDV_34</v>
          </cell>
          <cell r="D88" t="str">
            <v>SP</v>
          </cell>
          <cell r="E88">
            <v>12</v>
          </cell>
          <cell r="F88">
            <v>20</v>
          </cell>
          <cell r="G88">
            <v>2726.68</v>
          </cell>
          <cell r="H88">
            <v>22347.26</v>
          </cell>
          <cell r="I88">
            <v>11293.94</v>
          </cell>
          <cell r="J88">
            <v>10960.79</v>
          </cell>
          <cell r="K88">
            <v>100</v>
          </cell>
          <cell r="L88">
            <v>15.23</v>
          </cell>
          <cell r="M88">
            <v>0.34</v>
          </cell>
          <cell r="N88">
            <v>7</v>
          </cell>
          <cell r="O88">
            <v>819.58</v>
          </cell>
        </row>
        <row r="89">
          <cell r="A89" t="str">
            <v>PDV_352025/2</v>
          </cell>
          <cell r="B89">
            <v>45689</v>
          </cell>
          <cell r="C89" t="str">
            <v>PDV_35</v>
          </cell>
          <cell r="D89" t="str">
            <v>SP</v>
          </cell>
          <cell r="E89">
            <v>6</v>
          </cell>
          <cell r="F89">
            <v>20</v>
          </cell>
          <cell r="G89">
            <v>2747.55</v>
          </cell>
          <cell r="H89">
            <v>21273.919999999998</v>
          </cell>
          <cell r="I89">
            <v>11534.32</v>
          </cell>
          <cell r="J89">
            <v>9701.2999999999993</v>
          </cell>
          <cell r="L89">
            <v>15.23</v>
          </cell>
          <cell r="M89">
            <v>0.34</v>
          </cell>
          <cell r="N89">
            <v>7</v>
          </cell>
          <cell r="O89">
            <v>774.29</v>
          </cell>
        </row>
        <row r="90">
          <cell r="A90" t="str">
            <v>PDV_362025/2</v>
          </cell>
          <cell r="B90">
            <v>45689</v>
          </cell>
          <cell r="C90" t="str">
            <v>PDV_36</v>
          </cell>
          <cell r="D90" t="str">
            <v>SP</v>
          </cell>
          <cell r="E90">
            <v>19</v>
          </cell>
          <cell r="F90">
            <v>20</v>
          </cell>
          <cell r="G90">
            <v>2772.76</v>
          </cell>
          <cell r="H90">
            <v>25956.77</v>
          </cell>
          <cell r="I90">
            <v>13563.82</v>
          </cell>
          <cell r="J90">
            <v>12424.18</v>
          </cell>
          <cell r="K90">
            <v>100</v>
          </cell>
          <cell r="L90">
            <v>15.23</v>
          </cell>
          <cell r="M90">
            <v>0.34</v>
          </cell>
          <cell r="N90">
            <v>3</v>
          </cell>
          <cell r="O90">
            <v>936.13</v>
          </cell>
        </row>
        <row r="91">
          <cell r="A91" t="str">
            <v>PDV_372025/2</v>
          </cell>
          <cell r="B91">
            <v>45689</v>
          </cell>
          <cell r="C91" t="str">
            <v>PDV_37</v>
          </cell>
          <cell r="D91" t="str">
            <v>PR</v>
          </cell>
          <cell r="E91">
            <v>12</v>
          </cell>
          <cell r="F91">
            <v>20</v>
          </cell>
          <cell r="G91">
            <v>2764.13</v>
          </cell>
          <cell r="H91">
            <v>10031.41</v>
          </cell>
          <cell r="I91">
            <v>7916.07</v>
          </cell>
          <cell r="J91">
            <v>1979.27</v>
          </cell>
          <cell r="K91">
            <v>100</v>
          </cell>
          <cell r="L91">
            <v>15.23</v>
          </cell>
          <cell r="M91">
            <v>0.34</v>
          </cell>
          <cell r="N91">
            <v>16</v>
          </cell>
          <cell r="O91">
            <v>362.91</v>
          </cell>
        </row>
        <row r="92">
          <cell r="A92" t="str">
            <v>PDV_382025/2</v>
          </cell>
          <cell r="B92">
            <v>45689</v>
          </cell>
          <cell r="C92" t="str">
            <v>PDV_38</v>
          </cell>
          <cell r="D92" t="str">
            <v>RS</v>
          </cell>
          <cell r="E92">
            <v>21</v>
          </cell>
          <cell r="F92">
            <v>20</v>
          </cell>
          <cell r="G92">
            <v>2759.87</v>
          </cell>
          <cell r="H92">
            <v>16874.34</v>
          </cell>
          <cell r="I92">
            <v>8221.43</v>
          </cell>
          <cell r="J92">
            <v>8636.5</v>
          </cell>
          <cell r="K92">
            <v>100</v>
          </cell>
          <cell r="L92">
            <v>15.23</v>
          </cell>
          <cell r="M92">
            <v>0.34</v>
          </cell>
          <cell r="N92">
            <v>2</v>
          </cell>
          <cell r="O92">
            <v>611.41999999999996</v>
          </cell>
        </row>
        <row r="93">
          <cell r="A93" t="str">
            <v>PDV_392025/2</v>
          </cell>
          <cell r="B93">
            <v>45689</v>
          </cell>
          <cell r="C93" t="str">
            <v>PDV_39</v>
          </cell>
          <cell r="D93" t="str">
            <v>SP</v>
          </cell>
          <cell r="E93">
            <v>7</v>
          </cell>
          <cell r="F93">
            <v>20</v>
          </cell>
          <cell r="G93">
            <v>2550.48</v>
          </cell>
          <cell r="H93">
            <v>21907.96</v>
          </cell>
          <cell r="I93">
            <v>15036.73</v>
          </cell>
          <cell r="J93">
            <v>6853.08</v>
          </cell>
          <cell r="K93">
            <v>100</v>
          </cell>
          <cell r="L93">
            <v>15.23</v>
          </cell>
          <cell r="M93">
            <v>0.34</v>
          </cell>
          <cell r="N93">
            <v>1</v>
          </cell>
          <cell r="O93">
            <v>858.98</v>
          </cell>
        </row>
        <row r="94">
          <cell r="A94" t="str">
            <v>PDV_402025/2</v>
          </cell>
          <cell r="B94">
            <v>45689</v>
          </cell>
          <cell r="C94" t="str">
            <v>PDV_40</v>
          </cell>
          <cell r="D94" t="str">
            <v>PR</v>
          </cell>
          <cell r="E94">
            <v>46</v>
          </cell>
          <cell r="F94">
            <v>20</v>
          </cell>
          <cell r="G94">
            <v>2923.01</v>
          </cell>
          <cell r="H94">
            <v>22232.99</v>
          </cell>
          <cell r="I94">
            <v>12739.11</v>
          </cell>
          <cell r="J94">
            <v>9274.93</v>
          </cell>
          <cell r="K94">
            <v>100</v>
          </cell>
          <cell r="L94">
            <v>15.23</v>
          </cell>
          <cell r="M94">
            <v>0.34</v>
          </cell>
          <cell r="N94">
            <v>14</v>
          </cell>
          <cell r="O94">
            <v>760.62</v>
          </cell>
        </row>
        <row r="95">
          <cell r="A95" t="str">
            <v>PDV_412025/2</v>
          </cell>
          <cell r="B95">
            <v>45689</v>
          </cell>
          <cell r="C95" t="str">
            <v>PDV_41</v>
          </cell>
          <cell r="D95" t="str">
            <v>MG</v>
          </cell>
          <cell r="E95">
            <v>35</v>
          </cell>
          <cell r="F95">
            <v>20</v>
          </cell>
          <cell r="G95">
            <v>2743.44</v>
          </cell>
          <cell r="H95">
            <v>11512.5</v>
          </cell>
          <cell r="I95">
            <v>8615</v>
          </cell>
          <cell r="J95">
            <v>2811.74</v>
          </cell>
          <cell r="K95">
            <v>100</v>
          </cell>
          <cell r="L95">
            <v>15.23</v>
          </cell>
          <cell r="M95">
            <v>0.34</v>
          </cell>
          <cell r="N95">
            <v>20</v>
          </cell>
          <cell r="O95">
            <v>419.64</v>
          </cell>
        </row>
        <row r="96">
          <cell r="A96" t="str">
            <v>PDV_422025/2</v>
          </cell>
          <cell r="B96">
            <v>45689</v>
          </cell>
          <cell r="C96" t="str">
            <v>PDV_42</v>
          </cell>
          <cell r="D96" t="str">
            <v>SP</v>
          </cell>
          <cell r="E96">
            <v>24</v>
          </cell>
          <cell r="F96">
            <v>20</v>
          </cell>
          <cell r="G96">
            <v>2687.99</v>
          </cell>
          <cell r="H96">
            <v>14439.94</v>
          </cell>
          <cell r="I96">
            <v>8222.3700000000008</v>
          </cell>
          <cell r="J96">
            <v>6230.98</v>
          </cell>
          <cell r="K96">
            <v>100</v>
          </cell>
          <cell r="L96">
            <v>15.23</v>
          </cell>
          <cell r="M96">
            <v>0.34</v>
          </cell>
          <cell r="N96">
            <v>6</v>
          </cell>
          <cell r="O96">
            <v>537.20000000000005</v>
          </cell>
        </row>
        <row r="97">
          <cell r="A97" t="str">
            <v>PDV_432025/2</v>
          </cell>
          <cell r="B97">
            <v>45689</v>
          </cell>
          <cell r="C97" t="str">
            <v>PDV_43</v>
          </cell>
          <cell r="D97" t="str">
            <v>MG</v>
          </cell>
          <cell r="E97">
            <v>39</v>
          </cell>
          <cell r="F97">
            <v>20</v>
          </cell>
          <cell r="G97">
            <v>2850.15</v>
          </cell>
          <cell r="H97">
            <v>10606.99</v>
          </cell>
          <cell r="I97">
            <v>9247.98</v>
          </cell>
          <cell r="J97">
            <v>1416.66</v>
          </cell>
          <cell r="K97">
            <v>100</v>
          </cell>
          <cell r="L97">
            <v>15.23</v>
          </cell>
          <cell r="M97">
            <v>0.34</v>
          </cell>
          <cell r="N97">
            <v>2</v>
          </cell>
          <cell r="O97">
            <v>372.16</v>
          </cell>
        </row>
        <row r="98">
          <cell r="A98" t="str">
            <v>PDV_442025/2</v>
          </cell>
          <cell r="B98">
            <v>45689</v>
          </cell>
          <cell r="C98" t="str">
            <v>PDV_44</v>
          </cell>
          <cell r="D98" t="str">
            <v>RS</v>
          </cell>
          <cell r="E98">
            <v>32</v>
          </cell>
          <cell r="F98">
            <v>20</v>
          </cell>
          <cell r="G98">
            <v>2627.6</v>
          </cell>
          <cell r="H98">
            <v>16976.16</v>
          </cell>
          <cell r="I98">
            <v>12755.04</v>
          </cell>
          <cell r="J98">
            <v>4252.43</v>
          </cell>
          <cell r="K98">
            <v>100</v>
          </cell>
          <cell r="L98">
            <v>15.23</v>
          </cell>
          <cell r="M98">
            <v>0.34</v>
          </cell>
          <cell r="N98">
            <v>5</v>
          </cell>
          <cell r="O98">
            <v>646.07000000000005</v>
          </cell>
        </row>
        <row r="99">
          <cell r="A99" t="str">
            <v>PDV_452025/2</v>
          </cell>
          <cell r="B99">
            <v>45689</v>
          </cell>
          <cell r="C99" t="str">
            <v>PDV_45</v>
          </cell>
          <cell r="D99" t="str">
            <v>PE</v>
          </cell>
          <cell r="E99">
            <v>35</v>
          </cell>
          <cell r="F99">
            <v>20</v>
          </cell>
          <cell r="G99">
            <v>2867.95</v>
          </cell>
          <cell r="H99">
            <v>37405.769999999997</v>
          </cell>
          <cell r="I99">
            <v>22465.73</v>
          </cell>
          <cell r="J99">
            <v>8262.1</v>
          </cell>
          <cell r="K99">
            <v>113.06</v>
          </cell>
          <cell r="L99">
            <v>15.23</v>
          </cell>
          <cell r="M99">
            <v>0.34</v>
          </cell>
          <cell r="N99">
            <v>18</v>
          </cell>
          <cell r="O99">
            <v>1304.27</v>
          </cell>
        </row>
        <row r="100">
          <cell r="A100" t="str">
            <v>PDV_462025/2</v>
          </cell>
          <cell r="B100">
            <v>45689</v>
          </cell>
          <cell r="C100" t="str">
            <v>PDV_46</v>
          </cell>
          <cell r="D100" t="str">
            <v>PE</v>
          </cell>
          <cell r="E100">
            <v>44</v>
          </cell>
          <cell r="F100">
            <v>20</v>
          </cell>
          <cell r="G100">
            <v>2748.48</v>
          </cell>
          <cell r="H100">
            <v>21557.87</v>
          </cell>
          <cell r="I100">
            <v>10113.540000000001</v>
          </cell>
          <cell r="J100">
            <v>11331.05</v>
          </cell>
          <cell r="K100">
            <v>100</v>
          </cell>
          <cell r="L100">
            <v>15.23</v>
          </cell>
          <cell r="M100">
            <v>0.34</v>
          </cell>
          <cell r="N100">
            <v>18</v>
          </cell>
          <cell r="O100">
            <v>784.36</v>
          </cell>
        </row>
        <row r="101">
          <cell r="A101" t="str">
            <v>PDV_472025/2</v>
          </cell>
          <cell r="B101">
            <v>45689</v>
          </cell>
          <cell r="C101" t="str">
            <v>PDV_47</v>
          </cell>
          <cell r="D101" t="str">
            <v>RJ</v>
          </cell>
          <cell r="E101">
            <v>50</v>
          </cell>
          <cell r="F101">
            <v>20</v>
          </cell>
          <cell r="G101">
            <v>2874.84</v>
          </cell>
          <cell r="H101">
            <v>26086.04</v>
          </cell>
          <cell r="I101">
            <v>12891.65</v>
          </cell>
          <cell r="J101">
            <v>12970.26</v>
          </cell>
          <cell r="K101">
            <v>100</v>
          </cell>
          <cell r="L101">
            <v>15.23</v>
          </cell>
          <cell r="M101">
            <v>0.34</v>
          </cell>
          <cell r="N101">
            <v>20</v>
          </cell>
          <cell r="O101">
            <v>907.39</v>
          </cell>
        </row>
        <row r="102">
          <cell r="A102" t="str">
            <v>PDV_482025/2</v>
          </cell>
          <cell r="B102">
            <v>45689</v>
          </cell>
          <cell r="C102" t="str">
            <v>PDV_48</v>
          </cell>
          <cell r="D102" t="str">
            <v>DF</v>
          </cell>
          <cell r="E102">
            <v>43</v>
          </cell>
          <cell r="F102">
            <v>20</v>
          </cell>
          <cell r="G102">
            <v>2799.68</v>
          </cell>
          <cell r="H102">
            <v>16090.84</v>
          </cell>
          <cell r="I102">
            <v>8640.64</v>
          </cell>
          <cell r="J102">
            <v>7423.37</v>
          </cell>
          <cell r="K102">
            <v>100</v>
          </cell>
          <cell r="L102">
            <v>15.23</v>
          </cell>
          <cell r="M102">
            <v>0.34</v>
          </cell>
          <cell r="N102">
            <v>2</v>
          </cell>
          <cell r="O102">
            <v>574.74</v>
          </cell>
        </row>
        <row r="103">
          <cell r="A103" t="str">
            <v>PDV_492025/2</v>
          </cell>
          <cell r="B103">
            <v>45689</v>
          </cell>
          <cell r="C103" t="str">
            <v>PDV_49</v>
          </cell>
          <cell r="D103" t="str">
            <v>MG</v>
          </cell>
          <cell r="E103">
            <v>49</v>
          </cell>
          <cell r="F103">
            <v>20</v>
          </cell>
          <cell r="G103">
            <v>2542.87</v>
          </cell>
          <cell r="H103">
            <v>20004.240000000002</v>
          </cell>
          <cell r="I103">
            <v>14611.86</v>
          </cell>
          <cell r="J103">
            <v>5318.92</v>
          </cell>
          <cell r="K103">
            <v>100</v>
          </cell>
          <cell r="L103">
            <v>15.23</v>
          </cell>
          <cell r="M103">
            <v>0.34</v>
          </cell>
          <cell r="N103">
            <v>12</v>
          </cell>
          <cell r="O103">
            <v>786.68</v>
          </cell>
        </row>
        <row r="104">
          <cell r="A104" t="str">
            <v>PDV_502025/2</v>
          </cell>
          <cell r="B104">
            <v>45689</v>
          </cell>
          <cell r="C104" t="str">
            <v>PDV_50</v>
          </cell>
          <cell r="D104" t="str">
            <v>RJ</v>
          </cell>
          <cell r="E104">
            <v>23</v>
          </cell>
          <cell r="F104">
            <v>20</v>
          </cell>
          <cell r="G104">
            <v>2816.25</v>
          </cell>
          <cell r="H104">
            <v>14237.12</v>
          </cell>
          <cell r="I104">
            <v>6463.72</v>
          </cell>
          <cell r="J104">
            <v>7767.4</v>
          </cell>
          <cell r="K104">
            <v>100</v>
          </cell>
          <cell r="L104">
            <v>15.23</v>
          </cell>
          <cell r="M104">
            <v>0.34</v>
          </cell>
          <cell r="N104">
            <v>19</v>
          </cell>
          <cell r="O104">
            <v>505.53</v>
          </cell>
        </row>
        <row r="105">
          <cell r="A105" t="str">
            <v>PDV_512025/2</v>
          </cell>
          <cell r="B105">
            <v>45689</v>
          </cell>
          <cell r="C105" t="str">
            <v>PDV_51</v>
          </cell>
          <cell r="D105" t="str">
            <v>MG</v>
          </cell>
          <cell r="E105">
            <v>5</v>
          </cell>
          <cell r="F105">
            <v>20</v>
          </cell>
          <cell r="G105">
            <v>2767</v>
          </cell>
          <cell r="H105">
            <v>19195.05</v>
          </cell>
          <cell r="I105">
            <v>14362.25</v>
          </cell>
          <cell r="J105">
            <v>4765.96</v>
          </cell>
          <cell r="K105">
            <v>100</v>
          </cell>
          <cell r="L105">
            <v>15.23</v>
          </cell>
          <cell r="M105">
            <v>0.34</v>
          </cell>
          <cell r="N105">
            <v>6</v>
          </cell>
          <cell r="O105">
            <v>693.71</v>
          </cell>
        </row>
        <row r="106">
          <cell r="A106" t="str">
            <v>PDV_522025/2</v>
          </cell>
          <cell r="B106">
            <v>45689</v>
          </cell>
          <cell r="C106" t="str">
            <v>PDV_52</v>
          </cell>
          <cell r="D106" t="str">
            <v>RJ</v>
          </cell>
          <cell r="E106">
            <v>39</v>
          </cell>
          <cell r="F106">
            <v>20</v>
          </cell>
          <cell r="G106">
            <v>2720.85</v>
          </cell>
          <cell r="H106">
            <v>16616.2</v>
          </cell>
          <cell r="I106">
            <v>9496.1</v>
          </cell>
          <cell r="J106">
            <v>7145.27</v>
          </cell>
          <cell r="K106">
            <v>100</v>
          </cell>
          <cell r="L106">
            <v>15.23</v>
          </cell>
          <cell r="M106">
            <v>0.34</v>
          </cell>
          <cell r="N106">
            <v>20</v>
          </cell>
          <cell r="O106">
            <v>610.70000000000005</v>
          </cell>
        </row>
        <row r="107">
          <cell r="A107" t="str">
            <v>PDV_532025/2</v>
          </cell>
          <cell r="B107">
            <v>45689</v>
          </cell>
          <cell r="C107" t="str">
            <v>PDV_53</v>
          </cell>
          <cell r="D107" t="str">
            <v>SP</v>
          </cell>
          <cell r="E107">
            <v>15</v>
          </cell>
          <cell r="F107">
            <v>20</v>
          </cell>
          <cell r="G107">
            <v>2844.76</v>
          </cell>
          <cell r="H107">
            <v>17388.79</v>
          </cell>
          <cell r="I107">
            <v>14032.22</v>
          </cell>
          <cell r="J107">
            <v>3362.06</v>
          </cell>
          <cell r="K107">
            <v>100</v>
          </cell>
          <cell r="L107">
            <v>15.23</v>
          </cell>
          <cell r="M107">
            <v>0.34</v>
          </cell>
          <cell r="N107">
            <v>5</v>
          </cell>
          <cell r="O107">
            <v>611.26</v>
          </cell>
        </row>
        <row r="108">
          <cell r="A108" t="str">
            <v>PDV_12025/3</v>
          </cell>
          <cell r="B108">
            <v>45717</v>
          </cell>
          <cell r="C108" t="str">
            <v>PDV_1</v>
          </cell>
          <cell r="D108" t="str">
            <v>BA</v>
          </cell>
          <cell r="E108">
            <v>13</v>
          </cell>
          <cell r="F108">
            <v>18</v>
          </cell>
          <cell r="G108">
            <v>2781.01</v>
          </cell>
          <cell r="H108">
            <v>16323.49</v>
          </cell>
          <cell r="I108">
            <v>12160.2</v>
          </cell>
          <cell r="J108">
            <v>4080.11</v>
          </cell>
          <cell r="K108">
            <v>100</v>
          </cell>
          <cell r="L108">
            <v>14.91</v>
          </cell>
          <cell r="M108">
            <v>0.14000000000000001</v>
          </cell>
          <cell r="N108">
            <v>16</v>
          </cell>
          <cell r="O108">
            <v>586.96</v>
          </cell>
        </row>
        <row r="109">
          <cell r="A109" t="str">
            <v>PDV_22025/3</v>
          </cell>
          <cell r="B109">
            <v>45717</v>
          </cell>
          <cell r="C109" t="str">
            <v>PDV_2</v>
          </cell>
          <cell r="D109" t="str">
            <v>MG</v>
          </cell>
          <cell r="E109">
            <v>29</v>
          </cell>
          <cell r="F109">
            <v>18</v>
          </cell>
          <cell r="G109">
            <v>2742.4</v>
          </cell>
          <cell r="H109">
            <v>20560.900000000001</v>
          </cell>
          <cell r="I109">
            <v>12470.95</v>
          </cell>
          <cell r="J109">
            <v>2389.19</v>
          </cell>
          <cell r="K109">
            <v>108.96</v>
          </cell>
          <cell r="L109">
            <v>14.91</v>
          </cell>
          <cell r="M109">
            <v>0.14000000000000001</v>
          </cell>
          <cell r="N109">
            <v>19</v>
          </cell>
          <cell r="O109">
            <v>749.74</v>
          </cell>
        </row>
        <row r="110">
          <cell r="A110" t="str">
            <v>PDV_32025/3</v>
          </cell>
          <cell r="B110">
            <v>45717</v>
          </cell>
          <cell r="C110" t="str">
            <v>PDV_3</v>
          </cell>
          <cell r="D110" t="str">
            <v>PE</v>
          </cell>
          <cell r="E110">
            <v>8</v>
          </cell>
          <cell r="F110">
            <v>18</v>
          </cell>
          <cell r="G110">
            <v>3062.18</v>
          </cell>
          <cell r="H110">
            <v>15909.12</v>
          </cell>
          <cell r="I110">
            <v>10952.7</v>
          </cell>
          <cell r="J110">
            <v>4883.6899999999996</v>
          </cell>
          <cell r="K110">
            <v>100</v>
          </cell>
          <cell r="L110">
            <v>14.91</v>
          </cell>
          <cell r="M110">
            <v>0.14000000000000001</v>
          </cell>
          <cell r="N110">
            <v>1</v>
          </cell>
          <cell r="O110">
            <v>519.54</v>
          </cell>
        </row>
        <row r="111">
          <cell r="A111" t="str">
            <v>PDV_42025/3</v>
          </cell>
          <cell r="B111">
            <v>45717</v>
          </cell>
          <cell r="C111" t="str">
            <v>PDV_4</v>
          </cell>
          <cell r="D111" t="str">
            <v>SP</v>
          </cell>
          <cell r="E111">
            <v>44</v>
          </cell>
          <cell r="F111">
            <v>18</v>
          </cell>
          <cell r="G111">
            <v>2507.2600000000002</v>
          </cell>
          <cell r="H111">
            <v>9106.34</v>
          </cell>
          <cell r="I111">
            <v>5356.02</v>
          </cell>
          <cell r="J111">
            <v>3748.78</v>
          </cell>
          <cell r="K111">
            <v>100</v>
          </cell>
          <cell r="L111">
            <v>14.91</v>
          </cell>
          <cell r="M111">
            <v>0.14000000000000001</v>
          </cell>
          <cell r="N111">
            <v>17</v>
          </cell>
          <cell r="O111">
            <v>363.2</v>
          </cell>
        </row>
        <row r="112">
          <cell r="A112" t="str">
            <v>PDV_52025/3</v>
          </cell>
          <cell r="B112">
            <v>45717</v>
          </cell>
          <cell r="C112" t="str">
            <v>PDV_5</v>
          </cell>
          <cell r="D112" t="str">
            <v>PE</v>
          </cell>
          <cell r="E112">
            <v>28</v>
          </cell>
          <cell r="F112">
            <v>18</v>
          </cell>
          <cell r="G112">
            <v>2713.93</v>
          </cell>
          <cell r="H112">
            <v>11667.07</v>
          </cell>
          <cell r="I112">
            <v>8926.68</v>
          </cell>
          <cell r="J112">
            <v>2679.21</v>
          </cell>
          <cell r="K112">
            <v>100</v>
          </cell>
          <cell r="L112">
            <v>14.91</v>
          </cell>
          <cell r="M112">
            <v>0.14000000000000001</v>
          </cell>
          <cell r="N112">
            <v>3</v>
          </cell>
          <cell r="O112">
            <v>429.9</v>
          </cell>
        </row>
        <row r="113">
          <cell r="A113" t="str">
            <v>PDV_62025/3</v>
          </cell>
          <cell r="B113">
            <v>45717</v>
          </cell>
          <cell r="C113" t="str">
            <v>PDV_6</v>
          </cell>
          <cell r="D113" t="str">
            <v>RS</v>
          </cell>
          <cell r="E113">
            <v>20</v>
          </cell>
          <cell r="F113">
            <v>18</v>
          </cell>
          <cell r="G113">
            <v>2671.32</v>
          </cell>
          <cell r="H113">
            <v>12608.51</v>
          </cell>
          <cell r="I113">
            <v>10487.54</v>
          </cell>
          <cell r="J113">
            <v>2117.9299999999998</v>
          </cell>
          <cell r="L113">
            <v>14.91</v>
          </cell>
          <cell r="M113">
            <v>0.14000000000000001</v>
          </cell>
          <cell r="N113">
            <v>6</v>
          </cell>
          <cell r="O113">
            <v>472</v>
          </cell>
        </row>
        <row r="114">
          <cell r="A114" t="str">
            <v>PDV_72025/3</v>
          </cell>
          <cell r="B114">
            <v>45717</v>
          </cell>
          <cell r="C114" t="str">
            <v>PDV_7</v>
          </cell>
          <cell r="D114" t="str">
            <v>RJ</v>
          </cell>
          <cell r="E114">
            <v>15</v>
          </cell>
          <cell r="F114">
            <v>18</v>
          </cell>
          <cell r="G114">
            <v>3070.18</v>
          </cell>
          <cell r="H114">
            <v>14284.98</v>
          </cell>
          <cell r="I114">
            <v>7767.4</v>
          </cell>
          <cell r="J114">
            <v>6474.18</v>
          </cell>
          <cell r="K114">
            <v>100</v>
          </cell>
          <cell r="L114">
            <v>14.91</v>
          </cell>
          <cell r="M114">
            <v>0.14000000000000001</v>
          </cell>
          <cell r="N114">
            <v>13</v>
          </cell>
          <cell r="O114">
            <v>465.28</v>
          </cell>
        </row>
        <row r="115">
          <cell r="A115" t="str">
            <v>PDV_82025/3</v>
          </cell>
          <cell r="B115">
            <v>45717</v>
          </cell>
          <cell r="C115" t="str">
            <v>PDV_8</v>
          </cell>
          <cell r="D115" t="str">
            <v>SP</v>
          </cell>
          <cell r="E115">
            <v>35</v>
          </cell>
          <cell r="F115">
            <v>18</v>
          </cell>
          <cell r="H115">
            <v>16286.42</v>
          </cell>
          <cell r="I115">
            <v>8472.3799999999992</v>
          </cell>
          <cell r="J115">
            <v>7908.35</v>
          </cell>
          <cell r="K115">
            <v>100</v>
          </cell>
          <cell r="L115">
            <v>14.91</v>
          </cell>
          <cell r="M115">
            <v>0.14000000000000001</v>
          </cell>
          <cell r="N115">
            <v>6</v>
          </cell>
        </row>
        <row r="116">
          <cell r="A116" t="str">
            <v>PDV_92025/3</v>
          </cell>
          <cell r="B116">
            <v>45717</v>
          </cell>
          <cell r="C116" t="str">
            <v>PDV_9</v>
          </cell>
          <cell r="D116" t="str">
            <v>DF</v>
          </cell>
          <cell r="E116">
            <v>39</v>
          </cell>
          <cell r="F116">
            <v>18</v>
          </cell>
          <cell r="G116">
            <v>2747.2</v>
          </cell>
          <cell r="H116">
            <v>6691.52</v>
          </cell>
          <cell r="I116">
            <v>5224.95</v>
          </cell>
          <cell r="J116">
            <v>1463.53</v>
          </cell>
          <cell r="K116">
            <v>100</v>
          </cell>
          <cell r="L116">
            <v>14.91</v>
          </cell>
          <cell r="M116">
            <v>0.14000000000000001</v>
          </cell>
          <cell r="N116">
            <v>6</v>
          </cell>
          <cell r="O116">
            <v>243.58</v>
          </cell>
        </row>
        <row r="117">
          <cell r="A117" t="str">
            <v>PDV_102025/3</v>
          </cell>
          <cell r="B117">
            <v>45717</v>
          </cell>
          <cell r="C117" t="str">
            <v>PDV_10</v>
          </cell>
          <cell r="D117" t="str">
            <v>SP</v>
          </cell>
          <cell r="E117">
            <v>7</v>
          </cell>
          <cell r="F117">
            <v>18</v>
          </cell>
          <cell r="G117">
            <v>2609.4</v>
          </cell>
          <cell r="H117">
            <v>19933.77</v>
          </cell>
          <cell r="I117">
            <v>15701.68</v>
          </cell>
          <cell r="J117">
            <v>4179.63</v>
          </cell>
          <cell r="K117">
            <v>100</v>
          </cell>
          <cell r="L117">
            <v>14.91</v>
          </cell>
          <cell r="M117">
            <v>0.14000000000000001</v>
          </cell>
          <cell r="N117">
            <v>10</v>
          </cell>
          <cell r="O117">
            <v>763.92</v>
          </cell>
        </row>
        <row r="118">
          <cell r="A118" t="str">
            <v>PDV_112025/3</v>
          </cell>
          <cell r="B118">
            <v>45717</v>
          </cell>
          <cell r="C118" t="str">
            <v>PDV_11</v>
          </cell>
          <cell r="D118" t="str">
            <v>PE</v>
          </cell>
          <cell r="E118">
            <v>39</v>
          </cell>
          <cell r="F118">
            <v>18</v>
          </cell>
          <cell r="G118">
            <v>3163.19</v>
          </cell>
          <cell r="H118">
            <v>11433.33</v>
          </cell>
          <cell r="I118">
            <v>8993.16</v>
          </cell>
          <cell r="J118">
            <v>2399.7800000000002</v>
          </cell>
          <cell r="K118">
            <v>100</v>
          </cell>
          <cell r="L118">
            <v>14.91</v>
          </cell>
          <cell r="M118">
            <v>0.14000000000000001</v>
          </cell>
          <cell r="N118">
            <v>6</v>
          </cell>
          <cell r="O118">
            <v>361.45</v>
          </cell>
        </row>
        <row r="119">
          <cell r="A119" t="str">
            <v>PDV_122025/3</v>
          </cell>
          <cell r="B119">
            <v>45717</v>
          </cell>
          <cell r="C119" t="str">
            <v>PDV_12</v>
          </cell>
          <cell r="D119" t="str">
            <v>BA</v>
          </cell>
          <cell r="E119">
            <v>19</v>
          </cell>
          <cell r="F119">
            <v>18</v>
          </cell>
          <cell r="G119">
            <v>2852.47</v>
          </cell>
          <cell r="H119">
            <v>18542.54</v>
          </cell>
          <cell r="I119">
            <v>10518.69</v>
          </cell>
          <cell r="J119">
            <v>8129.4</v>
          </cell>
          <cell r="K119">
            <v>100</v>
          </cell>
          <cell r="L119">
            <v>14.91</v>
          </cell>
          <cell r="M119">
            <v>0.14000000000000001</v>
          </cell>
          <cell r="N119">
            <v>8</v>
          </cell>
          <cell r="O119">
            <v>650.04999999999995</v>
          </cell>
        </row>
        <row r="120">
          <cell r="A120" t="str">
            <v>PDV_132025/3</v>
          </cell>
          <cell r="B120">
            <v>45717</v>
          </cell>
          <cell r="C120" t="str">
            <v>PDV_13</v>
          </cell>
          <cell r="D120" t="str">
            <v>RJ</v>
          </cell>
          <cell r="E120">
            <v>39</v>
          </cell>
          <cell r="F120">
            <v>18</v>
          </cell>
          <cell r="G120">
            <v>2968.25</v>
          </cell>
          <cell r="H120">
            <v>7820.83</v>
          </cell>
          <cell r="I120">
            <v>6435.42</v>
          </cell>
          <cell r="J120">
            <v>1496.14</v>
          </cell>
          <cell r="K120">
            <v>100</v>
          </cell>
          <cell r="L120">
            <v>14.91</v>
          </cell>
          <cell r="M120">
            <v>0.14000000000000001</v>
          </cell>
          <cell r="N120">
            <v>7</v>
          </cell>
          <cell r="O120">
            <v>263.48</v>
          </cell>
        </row>
        <row r="121">
          <cell r="A121" t="str">
            <v>PDV_142025/3</v>
          </cell>
          <cell r="B121">
            <v>45717</v>
          </cell>
          <cell r="C121" t="str">
            <v>PDV_14</v>
          </cell>
          <cell r="D121" t="str">
            <v>MG</v>
          </cell>
          <cell r="E121">
            <v>29</v>
          </cell>
          <cell r="F121">
            <v>18</v>
          </cell>
          <cell r="G121">
            <v>2904.41</v>
          </cell>
          <cell r="H121">
            <v>9540.48</v>
          </cell>
          <cell r="I121">
            <v>5347.97</v>
          </cell>
          <cell r="J121">
            <v>3931.16</v>
          </cell>
          <cell r="L121">
            <v>14.91</v>
          </cell>
          <cell r="M121">
            <v>0.14000000000000001</v>
          </cell>
          <cell r="N121">
            <v>2</v>
          </cell>
          <cell r="O121">
            <v>328.48</v>
          </cell>
        </row>
        <row r="122">
          <cell r="A122" t="str">
            <v>PDV_152025/3</v>
          </cell>
          <cell r="B122">
            <v>45717</v>
          </cell>
          <cell r="C122" t="str">
            <v>PDV_15</v>
          </cell>
          <cell r="D122" t="str">
            <v>PR</v>
          </cell>
          <cell r="E122">
            <v>20</v>
          </cell>
          <cell r="F122">
            <v>18</v>
          </cell>
          <cell r="H122">
            <v>15728.6</v>
          </cell>
          <cell r="I122">
            <v>9924.66</v>
          </cell>
          <cell r="J122">
            <v>5957.11</v>
          </cell>
          <cell r="K122">
            <v>100</v>
          </cell>
          <cell r="L122">
            <v>14.91</v>
          </cell>
          <cell r="M122">
            <v>0.14000000000000001</v>
          </cell>
          <cell r="N122">
            <v>9</v>
          </cell>
        </row>
        <row r="123">
          <cell r="A123" t="str">
            <v>PDV_162025/3</v>
          </cell>
          <cell r="B123">
            <v>45717</v>
          </cell>
          <cell r="C123" t="str">
            <v>PDV_16</v>
          </cell>
          <cell r="D123" t="str">
            <v>RJ</v>
          </cell>
          <cell r="E123">
            <v>41</v>
          </cell>
          <cell r="F123">
            <v>18</v>
          </cell>
          <cell r="G123">
            <v>2704.18</v>
          </cell>
          <cell r="H123">
            <v>7399.16</v>
          </cell>
          <cell r="I123">
            <v>5246.46</v>
          </cell>
          <cell r="J123">
            <v>2150.4</v>
          </cell>
          <cell r="K123">
            <v>100</v>
          </cell>
          <cell r="L123">
            <v>14.91</v>
          </cell>
          <cell r="M123">
            <v>0.14000000000000001</v>
          </cell>
          <cell r="N123">
            <v>4</v>
          </cell>
          <cell r="O123">
            <v>273.62</v>
          </cell>
        </row>
        <row r="124">
          <cell r="A124" t="str">
            <v>PDV_172025/3</v>
          </cell>
          <cell r="B124">
            <v>45717</v>
          </cell>
          <cell r="C124" t="str">
            <v>PDV_17</v>
          </cell>
          <cell r="D124" t="str">
            <v>DF</v>
          </cell>
          <cell r="E124">
            <v>48</v>
          </cell>
          <cell r="F124">
            <v>18</v>
          </cell>
          <cell r="G124">
            <v>2752.76</v>
          </cell>
          <cell r="H124">
            <v>12408.17</v>
          </cell>
          <cell r="I124">
            <v>9430.51</v>
          </cell>
          <cell r="J124">
            <v>3120.87</v>
          </cell>
          <cell r="K124">
            <v>100</v>
          </cell>
          <cell r="L124">
            <v>14.91</v>
          </cell>
          <cell r="M124">
            <v>0.14000000000000001</v>
          </cell>
          <cell r="N124">
            <v>8</v>
          </cell>
          <cell r="O124">
            <v>450.75</v>
          </cell>
        </row>
        <row r="125">
          <cell r="A125" t="str">
            <v>PDV_182025/3</v>
          </cell>
          <cell r="B125">
            <v>45717</v>
          </cell>
          <cell r="C125" t="str">
            <v>PDV_18</v>
          </cell>
          <cell r="D125" t="str">
            <v>MG</v>
          </cell>
          <cell r="E125">
            <v>21</v>
          </cell>
          <cell r="F125">
            <v>18</v>
          </cell>
          <cell r="G125">
            <v>3062.19</v>
          </cell>
          <cell r="H125">
            <v>13485.59</v>
          </cell>
          <cell r="I125">
            <v>9129.0300000000007</v>
          </cell>
          <cell r="J125">
            <v>4413.0600000000004</v>
          </cell>
          <cell r="K125">
            <v>100</v>
          </cell>
          <cell r="L125">
            <v>14.91</v>
          </cell>
          <cell r="M125">
            <v>0.14000000000000001</v>
          </cell>
          <cell r="N125">
            <v>3</v>
          </cell>
          <cell r="O125">
            <v>440.39</v>
          </cell>
        </row>
        <row r="126">
          <cell r="A126" t="str">
            <v>PDV_192025/3</v>
          </cell>
          <cell r="B126">
            <v>45717</v>
          </cell>
          <cell r="C126" t="str">
            <v>PDV_19</v>
          </cell>
          <cell r="D126" t="str">
            <v>SP</v>
          </cell>
          <cell r="E126">
            <v>14</v>
          </cell>
          <cell r="F126">
            <v>18</v>
          </cell>
          <cell r="G126">
            <v>2717.46</v>
          </cell>
          <cell r="H126">
            <v>8581.56</v>
          </cell>
          <cell r="I126">
            <v>6800.73</v>
          </cell>
          <cell r="J126">
            <v>1855.9</v>
          </cell>
          <cell r="K126">
            <v>100</v>
          </cell>
          <cell r="L126">
            <v>14.91</v>
          </cell>
          <cell r="M126">
            <v>0.14000000000000001</v>
          </cell>
          <cell r="N126">
            <v>16</v>
          </cell>
          <cell r="O126">
            <v>315.79000000000002</v>
          </cell>
        </row>
        <row r="127">
          <cell r="A127" t="str">
            <v>PDV_202025/3</v>
          </cell>
          <cell r="B127">
            <v>45717</v>
          </cell>
          <cell r="C127" t="str">
            <v>PDV_20</v>
          </cell>
          <cell r="D127" t="str">
            <v>PE</v>
          </cell>
          <cell r="E127">
            <v>34</v>
          </cell>
          <cell r="F127">
            <v>18</v>
          </cell>
          <cell r="G127">
            <v>2981.4</v>
          </cell>
          <cell r="H127">
            <v>16323.08</v>
          </cell>
          <cell r="I127">
            <v>9423.7199999999993</v>
          </cell>
          <cell r="J127">
            <v>6718.78</v>
          </cell>
          <cell r="K127">
            <v>100</v>
          </cell>
          <cell r="L127">
            <v>14.91</v>
          </cell>
          <cell r="M127">
            <v>0.14000000000000001</v>
          </cell>
          <cell r="N127">
            <v>9</v>
          </cell>
          <cell r="O127">
            <v>547.5</v>
          </cell>
        </row>
        <row r="128">
          <cell r="A128" t="str">
            <v>PDV_212025/3</v>
          </cell>
          <cell r="B128">
            <v>45717</v>
          </cell>
          <cell r="C128" t="str">
            <v>PDV_21</v>
          </cell>
          <cell r="D128" t="str">
            <v>SP</v>
          </cell>
          <cell r="E128">
            <v>27</v>
          </cell>
          <cell r="F128">
            <v>18</v>
          </cell>
          <cell r="G128">
            <v>2706.12</v>
          </cell>
          <cell r="H128">
            <v>12017.99</v>
          </cell>
          <cell r="I128">
            <v>10846.22</v>
          </cell>
          <cell r="J128">
            <v>1239.82</v>
          </cell>
          <cell r="K128">
            <v>100</v>
          </cell>
          <cell r="L128">
            <v>14.91</v>
          </cell>
          <cell r="M128">
            <v>0.14000000000000001</v>
          </cell>
          <cell r="N128">
            <v>18</v>
          </cell>
          <cell r="O128">
            <v>444.1</v>
          </cell>
        </row>
        <row r="129">
          <cell r="A129" t="str">
            <v>PDV_222025/3</v>
          </cell>
          <cell r="B129">
            <v>45717</v>
          </cell>
          <cell r="C129" t="str">
            <v>PDV_22</v>
          </cell>
          <cell r="D129" t="str">
            <v>RS</v>
          </cell>
          <cell r="E129">
            <v>7</v>
          </cell>
          <cell r="F129">
            <v>18</v>
          </cell>
          <cell r="G129">
            <v>2781.87</v>
          </cell>
          <cell r="H129">
            <v>12070.29</v>
          </cell>
          <cell r="I129">
            <v>7587.32</v>
          </cell>
          <cell r="J129">
            <v>4275.08</v>
          </cell>
          <cell r="K129">
            <v>100</v>
          </cell>
          <cell r="L129">
            <v>14.91</v>
          </cell>
          <cell r="M129">
            <v>0.14000000000000001</v>
          </cell>
          <cell r="N129">
            <v>3</v>
          </cell>
          <cell r="O129">
            <v>433.89</v>
          </cell>
        </row>
        <row r="130">
          <cell r="A130" t="str">
            <v>PDV_232025/3</v>
          </cell>
          <cell r="B130">
            <v>45717</v>
          </cell>
          <cell r="C130" t="str">
            <v>PDV_23</v>
          </cell>
          <cell r="D130" t="str">
            <v>RJ</v>
          </cell>
          <cell r="E130">
            <v>32</v>
          </cell>
          <cell r="F130">
            <v>18</v>
          </cell>
          <cell r="G130">
            <v>3012.32</v>
          </cell>
          <cell r="H130">
            <v>7739.63</v>
          </cell>
          <cell r="I130">
            <v>5491.53</v>
          </cell>
          <cell r="J130">
            <v>2003.86</v>
          </cell>
          <cell r="K130">
            <v>100</v>
          </cell>
          <cell r="L130">
            <v>14.91</v>
          </cell>
          <cell r="M130">
            <v>0.14000000000000001</v>
          </cell>
          <cell r="N130">
            <v>1</v>
          </cell>
          <cell r="O130">
            <v>256.93</v>
          </cell>
        </row>
        <row r="131">
          <cell r="A131" t="str">
            <v>PDV_242025/3</v>
          </cell>
          <cell r="B131">
            <v>45717</v>
          </cell>
          <cell r="C131" t="str">
            <v>PDV_24</v>
          </cell>
          <cell r="D131" t="str">
            <v>PE</v>
          </cell>
          <cell r="E131">
            <v>49</v>
          </cell>
          <cell r="F131">
            <v>18</v>
          </cell>
          <cell r="G131">
            <v>2877.96</v>
          </cell>
          <cell r="H131">
            <v>19901.759999999998</v>
          </cell>
          <cell r="I131">
            <v>14255.53</v>
          </cell>
          <cell r="J131">
            <v>5728.44</v>
          </cell>
          <cell r="K131">
            <v>100</v>
          </cell>
          <cell r="L131">
            <v>14.91</v>
          </cell>
          <cell r="M131">
            <v>0.14000000000000001</v>
          </cell>
          <cell r="N131">
            <v>3</v>
          </cell>
          <cell r="O131">
            <v>691.52</v>
          </cell>
        </row>
        <row r="132">
          <cell r="A132" t="str">
            <v>PDV_252025/3</v>
          </cell>
          <cell r="B132">
            <v>45717</v>
          </cell>
          <cell r="C132" t="str">
            <v>PDV_25</v>
          </cell>
          <cell r="D132" t="str">
            <v>PE</v>
          </cell>
          <cell r="E132">
            <v>9</v>
          </cell>
          <cell r="F132">
            <v>18</v>
          </cell>
          <cell r="G132">
            <v>3014.22</v>
          </cell>
          <cell r="H132">
            <v>12437.5</v>
          </cell>
          <cell r="I132">
            <v>7778.82</v>
          </cell>
          <cell r="J132">
            <v>4716.3599999999997</v>
          </cell>
          <cell r="K132">
            <v>100</v>
          </cell>
          <cell r="L132">
            <v>14.91</v>
          </cell>
          <cell r="M132">
            <v>0.14000000000000001</v>
          </cell>
          <cell r="N132">
            <v>13</v>
          </cell>
          <cell r="O132">
            <v>412.63</v>
          </cell>
        </row>
        <row r="133">
          <cell r="A133" t="str">
            <v>PDV_262025/3</v>
          </cell>
          <cell r="B133">
            <v>45717</v>
          </cell>
          <cell r="C133" t="str">
            <v>PDV_26</v>
          </cell>
          <cell r="D133" t="str">
            <v>SP</v>
          </cell>
          <cell r="E133">
            <v>36</v>
          </cell>
          <cell r="F133">
            <v>18</v>
          </cell>
          <cell r="G133">
            <v>2956.38</v>
          </cell>
          <cell r="H133">
            <v>10102.66</v>
          </cell>
          <cell r="I133">
            <v>7547.61</v>
          </cell>
          <cell r="J133">
            <v>2554.13</v>
          </cell>
          <cell r="K133">
            <v>100</v>
          </cell>
          <cell r="L133">
            <v>14.91</v>
          </cell>
          <cell r="M133">
            <v>0.14000000000000001</v>
          </cell>
          <cell r="N133">
            <v>1</v>
          </cell>
          <cell r="O133">
            <v>341.72</v>
          </cell>
        </row>
        <row r="134">
          <cell r="A134" t="str">
            <v>PDV_272025/3</v>
          </cell>
          <cell r="B134">
            <v>45717</v>
          </cell>
          <cell r="C134" t="str">
            <v>PDV_27</v>
          </cell>
          <cell r="D134" t="str">
            <v>RS</v>
          </cell>
          <cell r="E134">
            <v>6</v>
          </cell>
          <cell r="F134">
            <v>18</v>
          </cell>
          <cell r="G134">
            <v>3097.07</v>
          </cell>
          <cell r="H134">
            <v>20265.18</v>
          </cell>
          <cell r="I134">
            <v>10007.370000000001</v>
          </cell>
          <cell r="J134">
            <v>10252.81</v>
          </cell>
          <cell r="K134">
            <v>100</v>
          </cell>
          <cell r="L134">
            <v>14.91</v>
          </cell>
          <cell r="M134">
            <v>0.14000000000000001</v>
          </cell>
          <cell r="N134">
            <v>4</v>
          </cell>
          <cell r="O134">
            <v>654.33000000000004</v>
          </cell>
        </row>
        <row r="135">
          <cell r="A135" t="str">
            <v>PDV_282025/3</v>
          </cell>
          <cell r="B135">
            <v>45717</v>
          </cell>
          <cell r="C135" t="str">
            <v>PDV_28</v>
          </cell>
          <cell r="D135" t="str">
            <v>SP</v>
          </cell>
          <cell r="E135">
            <v>18</v>
          </cell>
          <cell r="F135">
            <v>18</v>
          </cell>
          <cell r="G135">
            <v>2828.11</v>
          </cell>
          <cell r="H135">
            <v>12916.04</v>
          </cell>
          <cell r="I135">
            <v>8854.6299999999992</v>
          </cell>
          <cell r="J135">
            <v>3899.23</v>
          </cell>
          <cell r="K135">
            <v>100</v>
          </cell>
          <cell r="L135">
            <v>14.91</v>
          </cell>
          <cell r="M135">
            <v>0.14000000000000001</v>
          </cell>
          <cell r="N135">
            <v>17</v>
          </cell>
          <cell r="O135">
            <v>456.7</v>
          </cell>
        </row>
        <row r="136">
          <cell r="A136" t="str">
            <v>PDV_292025/3</v>
          </cell>
          <cell r="B136">
            <v>45717</v>
          </cell>
          <cell r="C136" t="str">
            <v>PDV_29</v>
          </cell>
          <cell r="D136" t="str">
            <v>MG</v>
          </cell>
          <cell r="E136">
            <v>24</v>
          </cell>
          <cell r="F136">
            <v>18</v>
          </cell>
          <cell r="G136">
            <v>2710.15</v>
          </cell>
          <cell r="H136">
            <v>19425.900000000001</v>
          </cell>
          <cell r="I136">
            <v>14298.16</v>
          </cell>
          <cell r="J136">
            <v>4990.8500000000004</v>
          </cell>
          <cell r="K136">
            <v>100</v>
          </cell>
          <cell r="L136">
            <v>14.91</v>
          </cell>
          <cell r="M136">
            <v>0.14000000000000001</v>
          </cell>
          <cell r="N136">
            <v>18</v>
          </cell>
          <cell r="O136">
            <v>716.78</v>
          </cell>
        </row>
        <row r="137">
          <cell r="A137" t="str">
            <v>PDV_302025/3</v>
          </cell>
          <cell r="B137">
            <v>45717</v>
          </cell>
          <cell r="C137" t="str">
            <v>PDV_30</v>
          </cell>
          <cell r="D137" t="str">
            <v>SP</v>
          </cell>
          <cell r="E137">
            <v>41</v>
          </cell>
          <cell r="F137">
            <v>18</v>
          </cell>
          <cell r="G137">
            <v>2628.27</v>
          </cell>
          <cell r="H137">
            <v>10337.09</v>
          </cell>
          <cell r="I137">
            <v>8862.9</v>
          </cell>
          <cell r="J137">
            <v>1424.05</v>
          </cell>
          <cell r="K137">
            <v>100</v>
          </cell>
          <cell r="L137">
            <v>14.91</v>
          </cell>
          <cell r="M137">
            <v>0.14000000000000001</v>
          </cell>
          <cell r="N137">
            <v>16</v>
          </cell>
          <cell r="O137">
            <v>393.3</v>
          </cell>
        </row>
        <row r="138">
          <cell r="A138" t="str">
            <v>PDV_312025/3</v>
          </cell>
          <cell r="B138">
            <v>45717</v>
          </cell>
          <cell r="C138" t="str">
            <v>PDV_31</v>
          </cell>
          <cell r="D138" t="str">
            <v>SP</v>
          </cell>
          <cell r="E138">
            <v>9</v>
          </cell>
          <cell r="F138">
            <v>18</v>
          </cell>
          <cell r="G138">
            <v>2752.35</v>
          </cell>
          <cell r="H138">
            <v>11538.11</v>
          </cell>
          <cell r="I138">
            <v>7751.16</v>
          </cell>
          <cell r="J138">
            <v>3624.27</v>
          </cell>
          <cell r="K138">
            <v>100</v>
          </cell>
          <cell r="L138">
            <v>14.91</v>
          </cell>
          <cell r="M138">
            <v>0.14000000000000001</v>
          </cell>
          <cell r="N138">
            <v>14</v>
          </cell>
          <cell r="O138">
            <v>419.21</v>
          </cell>
        </row>
        <row r="139">
          <cell r="A139" t="str">
            <v>PDV_322025/3</v>
          </cell>
          <cell r="B139">
            <v>45717</v>
          </cell>
          <cell r="C139" t="str">
            <v>PDV_32</v>
          </cell>
          <cell r="D139" t="str">
            <v>SP</v>
          </cell>
          <cell r="E139">
            <v>32</v>
          </cell>
          <cell r="F139">
            <v>18</v>
          </cell>
          <cell r="G139">
            <v>2931.44</v>
          </cell>
          <cell r="H139">
            <v>12964.68</v>
          </cell>
          <cell r="I139">
            <v>9621.7900000000009</v>
          </cell>
          <cell r="J139">
            <v>3568.71</v>
          </cell>
          <cell r="K139">
            <v>100</v>
          </cell>
          <cell r="L139">
            <v>14.91</v>
          </cell>
          <cell r="M139">
            <v>0.14000000000000001</v>
          </cell>
          <cell r="N139">
            <v>3</v>
          </cell>
          <cell r="O139">
            <v>442.26</v>
          </cell>
        </row>
        <row r="140">
          <cell r="A140" t="str">
            <v>PDV_332025/3</v>
          </cell>
          <cell r="B140">
            <v>45717</v>
          </cell>
          <cell r="C140" t="str">
            <v>PDV_33</v>
          </cell>
          <cell r="D140" t="str">
            <v>MG</v>
          </cell>
          <cell r="E140">
            <v>8</v>
          </cell>
          <cell r="F140">
            <v>18</v>
          </cell>
          <cell r="G140">
            <v>2753.67</v>
          </cell>
          <cell r="H140">
            <v>12111.84</v>
          </cell>
          <cell r="I140">
            <v>8001.7</v>
          </cell>
          <cell r="J140">
            <v>4022.23</v>
          </cell>
          <cell r="K140">
            <v>100</v>
          </cell>
          <cell r="L140">
            <v>14.91</v>
          </cell>
          <cell r="M140">
            <v>0.14000000000000001</v>
          </cell>
          <cell r="N140">
            <v>5</v>
          </cell>
          <cell r="O140">
            <v>439.84</v>
          </cell>
        </row>
        <row r="141">
          <cell r="A141" t="str">
            <v>PDV_342025/3</v>
          </cell>
          <cell r="B141">
            <v>45717</v>
          </cell>
          <cell r="C141" t="str">
            <v>PDV_34</v>
          </cell>
          <cell r="D141" t="str">
            <v>SP</v>
          </cell>
          <cell r="E141">
            <v>12</v>
          </cell>
          <cell r="F141">
            <v>18</v>
          </cell>
          <cell r="G141">
            <v>2897.06</v>
          </cell>
          <cell r="H141">
            <v>11380.2</v>
          </cell>
          <cell r="I141">
            <v>6187.92</v>
          </cell>
          <cell r="J141">
            <v>5227.1000000000004</v>
          </cell>
          <cell r="K141">
            <v>100</v>
          </cell>
          <cell r="L141">
            <v>14.91</v>
          </cell>
          <cell r="M141">
            <v>0.14000000000000001</v>
          </cell>
          <cell r="N141">
            <v>6</v>
          </cell>
          <cell r="O141">
            <v>392.82</v>
          </cell>
        </row>
        <row r="142">
          <cell r="A142" t="str">
            <v>PDV_352025/3</v>
          </cell>
          <cell r="B142">
            <v>45717</v>
          </cell>
          <cell r="C142" t="str">
            <v>PDV_35</v>
          </cell>
          <cell r="D142" t="str">
            <v>SP</v>
          </cell>
          <cell r="E142">
            <v>6</v>
          </cell>
          <cell r="F142">
            <v>18</v>
          </cell>
          <cell r="G142">
            <v>2913.39</v>
          </cell>
          <cell r="H142">
            <v>12683.3</v>
          </cell>
          <cell r="I142">
            <v>11142.74</v>
          </cell>
          <cell r="J142">
            <v>1611.98</v>
          </cell>
          <cell r="L142">
            <v>14.91</v>
          </cell>
          <cell r="M142">
            <v>0.14000000000000001</v>
          </cell>
          <cell r="N142">
            <v>19</v>
          </cell>
          <cell r="O142">
            <v>435.34</v>
          </cell>
        </row>
        <row r="143">
          <cell r="A143" t="str">
            <v>PDV_362025/3</v>
          </cell>
          <cell r="B143">
            <v>45717</v>
          </cell>
          <cell r="C143" t="str">
            <v>PDV_36</v>
          </cell>
          <cell r="D143" t="str">
            <v>SP</v>
          </cell>
          <cell r="E143">
            <v>19</v>
          </cell>
          <cell r="F143">
            <v>18</v>
          </cell>
          <cell r="G143">
            <v>2964.17</v>
          </cell>
          <cell r="H143">
            <v>12724.22</v>
          </cell>
          <cell r="I143">
            <v>8210.9</v>
          </cell>
          <cell r="J143">
            <v>4433.83</v>
          </cell>
          <cell r="K143">
            <v>100</v>
          </cell>
          <cell r="L143">
            <v>14.91</v>
          </cell>
          <cell r="M143">
            <v>0.14000000000000001</v>
          </cell>
          <cell r="N143">
            <v>14</v>
          </cell>
          <cell r="O143">
            <v>429.27</v>
          </cell>
        </row>
        <row r="144">
          <cell r="A144" t="str">
            <v>PDV_372025/3</v>
          </cell>
          <cell r="B144">
            <v>45717</v>
          </cell>
          <cell r="C144" t="str">
            <v>PDV_37</v>
          </cell>
          <cell r="D144" t="str">
            <v>PR</v>
          </cell>
          <cell r="E144">
            <v>12</v>
          </cell>
          <cell r="F144">
            <v>18</v>
          </cell>
          <cell r="G144">
            <v>2877.28</v>
          </cell>
          <cell r="H144">
            <v>19929.66</v>
          </cell>
          <cell r="I144">
            <v>11973.56</v>
          </cell>
          <cell r="J144">
            <v>7660.15</v>
          </cell>
          <cell r="K144">
            <v>100</v>
          </cell>
          <cell r="L144">
            <v>14.91</v>
          </cell>
          <cell r="M144">
            <v>0.14000000000000001</v>
          </cell>
          <cell r="N144">
            <v>11</v>
          </cell>
          <cell r="O144">
            <v>692.66</v>
          </cell>
        </row>
        <row r="145">
          <cell r="A145" t="str">
            <v>PDV_382025/3</v>
          </cell>
          <cell r="B145">
            <v>45717</v>
          </cell>
          <cell r="C145" t="str">
            <v>PDV_38</v>
          </cell>
          <cell r="D145" t="str">
            <v>RS</v>
          </cell>
          <cell r="E145">
            <v>21</v>
          </cell>
          <cell r="F145">
            <v>18</v>
          </cell>
          <cell r="G145">
            <v>2979.63</v>
          </cell>
          <cell r="H145">
            <v>20527.599999999999</v>
          </cell>
          <cell r="I145">
            <v>15333.49</v>
          </cell>
          <cell r="J145">
            <v>5292.29</v>
          </cell>
          <cell r="K145">
            <v>100</v>
          </cell>
          <cell r="L145">
            <v>14.91</v>
          </cell>
          <cell r="M145">
            <v>0.14000000000000001</v>
          </cell>
          <cell r="N145">
            <v>1</v>
          </cell>
          <cell r="O145">
            <v>688.93</v>
          </cell>
        </row>
        <row r="146">
          <cell r="A146" t="str">
            <v>PDV_392025/3</v>
          </cell>
          <cell r="B146">
            <v>45717</v>
          </cell>
          <cell r="C146" t="str">
            <v>PDV_39</v>
          </cell>
          <cell r="D146" t="str">
            <v>SP</v>
          </cell>
          <cell r="E146">
            <v>7</v>
          </cell>
          <cell r="F146">
            <v>18</v>
          </cell>
          <cell r="G146">
            <v>2762.35</v>
          </cell>
          <cell r="H146">
            <v>21837.26</v>
          </cell>
          <cell r="I146">
            <v>10196.969999999999</v>
          </cell>
          <cell r="J146">
            <v>11696.31</v>
          </cell>
          <cell r="L146">
            <v>14.91</v>
          </cell>
          <cell r="M146">
            <v>0.14000000000000001</v>
          </cell>
          <cell r="N146">
            <v>16</v>
          </cell>
          <cell r="O146">
            <v>790.53</v>
          </cell>
        </row>
        <row r="147">
          <cell r="A147" t="str">
            <v>PDV_402025/3</v>
          </cell>
          <cell r="B147">
            <v>45717</v>
          </cell>
          <cell r="C147" t="str">
            <v>PDV_40</v>
          </cell>
          <cell r="D147" t="str">
            <v>PR</v>
          </cell>
          <cell r="E147">
            <v>46</v>
          </cell>
          <cell r="F147">
            <v>18</v>
          </cell>
          <cell r="G147">
            <v>2941.83</v>
          </cell>
          <cell r="H147">
            <v>15102.77</v>
          </cell>
          <cell r="I147">
            <v>11881.3</v>
          </cell>
          <cell r="J147">
            <v>3284.32</v>
          </cell>
          <cell r="K147">
            <v>100</v>
          </cell>
          <cell r="L147">
            <v>14.91</v>
          </cell>
          <cell r="M147">
            <v>0.14000000000000001</v>
          </cell>
          <cell r="N147">
            <v>2</v>
          </cell>
          <cell r="O147">
            <v>513.38</v>
          </cell>
        </row>
        <row r="148">
          <cell r="A148" t="str">
            <v>PDV_412025/3</v>
          </cell>
          <cell r="B148">
            <v>45717</v>
          </cell>
          <cell r="C148" t="str">
            <v>PDV_41</v>
          </cell>
          <cell r="D148" t="str">
            <v>MG</v>
          </cell>
          <cell r="E148">
            <v>35</v>
          </cell>
          <cell r="F148">
            <v>18</v>
          </cell>
          <cell r="G148">
            <v>3014.61</v>
          </cell>
          <cell r="H148">
            <v>15842.22</v>
          </cell>
          <cell r="I148">
            <v>7789.9</v>
          </cell>
          <cell r="J148">
            <v>8007.45</v>
          </cell>
          <cell r="K148">
            <v>100</v>
          </cell>
          <cell r="L148">
            <v>14.91</v>
          </cell>
          <cell r="M148">
            <v>0.14000000000000001</v>
          </cell>
          <cell r="N148">
            <v>19</v>
          </cell>
          <cell r="O148">
            <v>525.51</v>
          </cell>
        </row>
        <row r="149">
          <cell r="A149" t="str">
            <v>PDV_422025/3</v>
          </cell>
          <cell r="B149">
            <v>45717</v>
          </cell>
          <cell r="C149" t="str">
            <v>PDV_42</v>
          </cell>
          <cell r="D149" t="str">
            <v>SP</v>
          </cell>
          <cell r="E149">
            <v>24</v>
          </cell>
          <cell r="F149">
            <v>18</v>
          </cell>
          <cell r="G149">
            <v>3071.25</v>
          </cell>
          <cell r="H149">
            <v>20735.11</v>
          </cell>
          <cell r="I149">
            <v>9679.6</v>
          </cell>
          <cell r="J149">
            <v>11070.18</v>
          </cell>
          <cell r="K149">
            <v>100</v>
          </cell>
          <cell r="L149">
            <v>14.91</v>
          </cell>
          <cell r="M149">
            <v>0.14000000000000001</v>
          </cell>
          <cell r="N149">
            <v>3</v>
          </cell>
          <cell r="O149">
            <v>675.14</v>
          </cell>
        </row>
        <row r="150">
          <cell r="A150" t="str">
            <v>PDV_432025/3</v>
          </cell>
          <cell r="B150">
            <v>45717</v>
          </cell>
          <cell r="C150" t="str">
            <v>PDV_43</v>
          </cell>
          <cell r="D150" t="str">
            <v>MG</v>
          </cell>
          <cell r="E150">
            <v>39</v>
          </cell>
          <cell r="F150">
            <v>18</v>
          </cell>
          <cell r="G150">
            <v>2714.98</v>
          </cell>
          <cell r="H150">
            <v>15527.63</v>
          </cell>
          <cell r="I150">
            <v>7478.41</v>
          </cell>
          <cell r="J150">
            <v>8005.81</v>
          </cell>
          <cell r="K150">
            <v>100</v>
          </cell>
          <cell r="L150">
            <v>14.91</v>
          </cell>
          <cell r="M150">
            <v>0.14000000000000001</v>
          </cell>
          <cell r="N150">
            <v>20</v>
          </cell>
          <cell r="O150">
            <v>571.91999999999996</v>
          </cell>
        </row>
        <row r="151">
          <cell r="A151" t="str">
            <v>PDV_442025/3</v>
          </cell>
          <cell r="B151">
            <v>45717</v>
          </cell>
          <cell r="C151" t="str">
            <v>PDV_44</v>
          </cell>
          <cell r="D151" t="str">
            <v>RS</v>
          </cell>
          <cell r="E151">
            <v>32</v>
          </cell>
          <cell r="F151">
            <v>18</v>
          </cell>
          <cell r="G151">
            <v>2877.13</v>
          </cell>
          <cell r="H151">
            <v>7096.18</v>
          </cell>
          <cell r="I151">
            <v>6213.1</v>
          </cell>
          <cell r="J151">
            <v>7133.58</v>
          </cell>
          <cell r="K151">
            <v>89.9</v>
          </cell>
          <cell r="L151">
            <v>14.91</v>
          </cell>
          <cell r="M151">
            <v>0.14000000000000001</v>
          </cell>
          <cell r="N151">
            <v>3</v>
          </cell>
          <cell r="O151">
            <v>246.64</v>
          </cell>
        </row>
        <row r="152">
          <cell r="A152" t="str">
            <v>PDV_452025/3</v>
          </cell>
          <cell r="B152">
            <v>45717</v>
          </cell>
          <cell r="C152" t="str">
            <v>PDV_45</v>
          </cell>
          <cell r="D152" t="str">
            <v>PE</v>
          </cell>
          <cell r="E152">
            <v>35</v>
          </cell>
          <cell r="F152">
            <v>18</v>
          </cell>
          <cell r="G152">
            <v>3065.25</v>
          </cell>
          <cell r="H152">
            <v>16657.830000000002</v>
          </cell>
          <cell r="I152">
            <v>13222.59</v>
          </cell>
          <cell r="J152">
            <v>3712.89</v>
          </cell>
          <cell r="K152">
            <v>100</v>
          </cell>
          <cell r="L152">
            <v>14.91</v>
          </cell>
          <cell r="M152">
            <v>0.14000000000000001</v>
          </cell>
          <cell r="N152">
            <v>2</v>
          </cell>
          <cell r="O152">
            <v>543.44000000000005</v>
          </cell>
        </row>
        <row r="153">
          <cell r="A153" t="str">
            <v>PDV_462025/3</v>
          </cell>
          <cell r="B153">
            <v>45717</v>
          </cell>
          <cell r="C153" t="str">
            <v>PDV_46</v>
          </cell>
          <cell r="D153" t="str">
            <v>PE</v>
          </cell>
          <cell r="E153">
            <v>44</v>
          </cell>
          <cell r="F153">
            <v>18</v>
          </cell>
          <cell r="G153">
            <v>2874.42</v>
          </cell>
          <cell r="H153">
            <v>19849.060000000001</v>
          </cell>
          <cell r="I153">
            <v>9455.23</v>
          </cell>
          <cell r="J153">
            <v>10380.870000000001</v>
          </cell>
          <cell r="K153">
            <v>100</v>
          </cell>
          <cell r="L153">
            <v>14.91</v>
          </cell>
          <cell r="M153">
            <v>0.14000000000000001</v>
          </cell>
          <cell r="N153">
            <v>8</v>
          </cell>
          <cell r="O153">
            <v>690.54</v>
          </cell>
        </row>
        <row r="154">
          <cell r="A154" t="str">
            <v>PDV_472025/3</v>
          </cell>
          <cell r="B154">
            <v>45717</v>
          </cell>
          <cell r="C154" t="str">
            <v>PDV_47</v>
          </cell>
          <cell r="D154" t="str">
            <v>RJ</v>
          </cell>
          <cell r="E154">
            <v>50</v>
          </cell>
          <cell r="F154">
            <v>18</v>
          </cell>
          <cell r="G154">
            <v>2969.07</v>
          </cell>
          <cell r="H154">
            <v>11362.02</v>
          </cell>
          <cell r="I154">
            <v>5937.61</v>
          </cell>
          <cell r="J154">
            <v>5497.2</v>
          </cell>
          <cell r="K154">
            <v>100</v>
          </cell>
          <cell r="L154">
            <v>14.91</v>
          </cell>
          <cell r="M154">
            <v>0.14000000000000001</v>
          </cell>
          <cell r="N154">
            <v>18</v>
          </cell>
          <cell r="O154">
            <v>382.68</v>
          </cell>
        </row>
        <row r="155">
          <cell r="A155" t="str">
            <v>PDV_482025/3</v>
          </cell>
          <cell r="B155">
            <v>45717</v>
          </cell>
          <cell r="C155" t="str">
            <v>PDV_48</v>
          </cell>
          <cell r="D155" t="str">
            <v>DF</v>
          </cell>
          <cell r="E155">
            <v>43</v>
          </cell>
          <cell r="F155">
            <v>18</v>
          </cell>
          <cell r="G155">
            <v>3091.57</v>
          </cell>
          <cell r="H155">
            <v>11203.97</v>
          </cell>
          <cell r="I155">
            <v>10088.93</v>
          </cell>
          <cell r="J155">
            <v>1048.8599999999999</v>
          </cell>
          <cell r="K155">
            <v>100</v>
          </cell>
          <cell r="L155">
            <v>14.91</v>
          </cell>
          <cell r="M155">
            <v>0.14000000000000001</v>
          </cell>
          <cell r="N155">
            <v>13</v>
          </cell>
          <cell r="O155">
            <v>362.4</v>
          </cell>
        </row>
        <row r="156">
          <cell r="A156" t="str">
            <v>PDV_492025/3</v>
          </cell>
          <cell r="B156">
            <v>45717</v>
          </cell>
          <cell r="C156" t="str">
            <v>PDV_49</v>
          </cell>
          <cell r="D156" t="str">
            <v>MG</v>
          </cell>
          <cell r="E156">
            <v>49</v>
          </cell>
          <cell r="F156">
            <v>18</v>
          </cell>
          <cell r="G156">
            <v>2981.54</v>
          </cell>
          <cell r="H156">
            <v>19954.169999999998</v>
          </cell>
          <cell r="I156">
            <v>13862.61</v>
          </cell>
          <cell r="J156">
            <v>5939.88</v>
          </cell>
          <cell r="L156">
            <v>14.91</v>
          </cell>
          <cell r="M156">
            <v>0.14000000000000001</v>
          </cell>
          <cell r="N156">
            <v>12</v>
          </cell>
          <cell r="O156">
            <v>669.26</v>
          </cell>
        </row>
        <row r="157">
          <cell r="A157" t="str">
            <v>PDV_502025/3</v>
          </cell>
          <cell r="B157">
            <v>45717</v>
          </cell>
          <cell r="C157" t="str">
            <v>PDV_50</v>
          </cell>
          <cell r="D157" t="str">
            <v>RJ</v>
          </cell>
          <cell r="E157">
            <v>23</v>
          </cell>
          <cell r="F157">
            <v>18</v>
          </cell>
          <cell r="G157">
            <v>2582.58</v>
          </cell>
          <cell r="H157">
            <v>10649.96</v>
          </cell>
          <cell r="I157">
            <v>8027.31</v>
          </cell>
          <cell r="J157">
            <v>2641.3</v>
          </cell>
          <cell r="K157">
            <v>100</v>
          </cell>
          <cell r="L157">
            <v>14.91</v>
          </cell>
          <cell r="M157">
            <v>0.14000000000000001</v>
          </cell>
          <cell r="N157">
            <v>5</v>
          </cell>
          <cell r="O157">
            <v>412.38</v>
          </cell>
        </row>
        <row r="158">
          <cell r="A158" t="str">
            <v>PDV_512025/3</v>
          </cell>
          <cell r="B158">
            <v>45717</v>
          </cell>
          <cell r="C158" t="str">
            <v>PDV_51</v>
          </cell>
          <cell r="D158" t="str">
            <v>MG</v>
          </cell>
          <cell r="E158">
            <v>5</v>
          </cell>
          <cell r="F158">
            <v>18</v>
          </cell>
          <cell r="G158">
            <v>2901.94</v>
          </cell>
          <cell r="H158">
            <v>8909.17</v>
          </cell>
          <cell r="I158">
            <v>4988.09</v>
          </cell>
          <cell r="J158">
            <v>4033.43</v>
          </cell>
          <cell r="K158">
            <v>100</v>
          </cell>
          <cell r="L158">
            <v>14.91</v>
          </cell>
          <cell r="M158">
            <v>0.14000000000000001</v>
          </cell>
          <cell r="N158">
            <v>10</v>
          </cell>
          <cell r="O158">
            <v>307.01</v>
          </cell>
        </row>
        <row r="159">
          <cell r="A159" t="str">
            <v>PDV_522025/3</v>
          </cell>
          <cell r="B159">
            <v>45717</v>
          </cell>
          <cell r="C159" t="str">
            <v>PDV_52</v>
          </cell>
          <cell r="D159" t="str">
            <v>RJ</v>
          </cell>
          <cell r="E159">
            <v>39</v>
          </cell>
          <cell r="F159">
            <v>18</v>
          </cell>
          <cell r="G159">
            <v>2825.45</v>
          </cell>
          <cell r="H159">
            <v>19118.07</v>
          </cell>
          <cell r="I159">
            <v>13528.56</v>
          </cell>
          <cell r="J159">
            <v>5724.54</v>
          </cell>
          <cell r="L159">
            <v>14.91</v>
          </cell>
          <cell r="M159">
            <v>0.14000000000000001</v>
          </cell>
          <cell r="N159">
            <v>8</v>
          </cell>
          <cell r="O159">
            <v>676.64</v>
          </cell>
        </row>
        <row r="160">
          <cell r="A160" t="str">
            <v>PDV_532025/3</v>
          </cell>
          <cell r="B160">
            <v>45717</v>
          </cell>
          <cell r="C160" t="str">
            <v>PDV_53</v>
          </cell>
          <cell r="D160" t="str">
            <v>SP</v>
          </cell>
          <cell r="E160">
            <v>15</v>
          </cell>
          <cell r="F160">
            <v>18</v>
          </cell>
          <cell r="G160">
            <v>2857.29</v>
          </cell>
          <cell r="H160">
            <v>11363.88</v>
          </cell>
          <cell r="I160">
            <v>6202.19</v>
          </cell>
          <cell r="J160">
            <v>5086.09</v>
          </cell>
          <cell r="K160">
            <v>100</v>
          </cell>
          <cell r="L160">
            <v>14.91</v>
          </cell>
          <cell r="M160">
            <v>0.14000000000000001</v>
          </cell>
          <cell r="N160">
            <v>13</v>
          </cell>
          <cell r="O160">
            <v>397.72</v>
          </cell>
        </row>
        <row r="161">
          <cell r="A161" t="str">
            <v>PDV_12025/4</v>
          </cell>
          <cell r="B161">
            <v>45748</v>
          </cell>
          <cell r="C161" t="str">
            <v>PDV_1</v>
          </cell>
          <cell r="D161" t="str">
            <v>BA</v>
          </cell>
          <cell r="E161">
            <v>13</v>
          </cell>
          <cell r="F161">
            <v>22</v>
          </cell>
          <cell r="G161">
            <v>2807.63</v>
          </cell>
          <cell r="H161">
            <v>28481.59</v>
          </cell>
          <cell r="I161">
            <v>13342.69</v>
          </cell>
          <cell r="J161">
            <v>15305.59</v>
          </cell>
          <cell r="K161">
            <v>100</v>
          </cell>
          <cell r="L161">
            <v>15.61</v>
          </cell>
          <cell r="M161">
            <v>0.81</v>
          </cell>
          <cell r="N161">
            <v>13</v>
          </cell>
          <cell r="O161">
            <v>1014.44</v>
          </cell>
        </row>
        <row r="162">
          <cell r="A162" t="str">
            <v>PDV_22025/4</v>
          </cell>
          <cell r="B162">
            <v>45748</v>
          </cell>
          <cell r="C162" t="str">
            <v>PDV_2</v>
          </cell>
          <cell r="D162" t="str">
            <v>MG</v>
          </cell>
          <cell r="E162">
            <v>29</v>
          </cell>
          <cell r="F162">
            <v>22</v>
          </cell>
          <cell r="G162">
            <v>3143.25</v>
          </cell>
          <cell r="H162">
            <v>26442.98</v>
          </cell>
          <cell r="I162">
            <v>20727.16</v>
          </cell>
          <cell r="J162">
            <v>5754.44</v>
          </cell>
          <cell r="K162">
            <v>100</v>
          </cell>
          <cell r="L162">
            <v>15.61</v>
          </cell>
          <cell r="M162">
            <v>0.81</v>
          </cell>
          <cell r="N162">
            <v>19</v>
          </cell>
          <cell r="O162">
            <v>841.26</v>
          </cell>
        </row>
        <row r="163">
          <cell r="A163" t="str">
            <v>PDV_32025/4</v>
          </cell>
          <cell r="B163">
            <v>45748</v>
          </cell>
          <cell r="C163" t="str">
            <v>PDV_3</v>
          </cell>
          <cell r="D163" t="str">
            <v>PE</v>
          </cell>
          <cell r="E163">
            <v>8</v>
          </cell>
          <cell r="F163">
            <v>22</v>
          </cell>
          <cell r="G163">
            <v>2896.32</v>
          </cell>
          <cell r="H163">
            <v>29493.1</v>
          </cell>
          <cell r="I163">
            <v>23003.74</v>
          </cell>
          <cell r="J163">
            <v>6514.36</v>
          </cell>
          <cell r="K163">
            <v>100</v>
          </cell>
          <cell r="L163">
            <v>15.61</v>
          </cell>
          <cell r="M163">
            <v>0.81</v>
          </cell>
          <cell r="N163">
            <v>15</v>
          </cell>
          <cell r="O163">
            <v>1018.3</v>
          </cell>
        </row>
        <row r="164">
          <cell r="A164" t="str">
            <v>PDV_42025/4</v>
          </cell>
          <cell r="B164">
            <v>45748</v>
          </cell>
          <cell r="C164" t="str">
            <v>PDV_4</v>
          </cell>
          <cell r="D164" t="str">
            <v>SP</v>
          </cell>
          <cell r="E164">
            <v>44</v>
          </cell>
          <cell r="F164">
            <v>22</v>
          </cell>
          <cell r="G164">
            <v>2806.53</v>
          </cell>
          <cell r="H164">
            <v>27297.68</v>
          </cell>
          <cell r="I164">
            <v>13899.11</v>
          </cell>
          <cell r="K164">
            <v>100</v>
          </cell>
          <cell r="L164">
            <v>15.61</v>
          </cell>
          <cell r="M164">
            <v>0.81</v>
          </cell>
          <cell r="N164">
            <v>7</v>
          </cell>
          <cell r="O164">
            <v>972.65</v>
          </cell>
        </row>
        <row r="165">
          <cell r="A165" t="str">
            <v>PDV_52025/4</v>
          </cell>
          <cell r="B165">
            <v>45748</v>
          </cell>
          <cell r="C165" t="str">
            <v>PDV_5</v>
          </cell>
          <cell r="D165" t="str">
            <v>PE</v>
          </cell>
          <cell r="E165">
            <v>28</v>
          </cell>
          <cell r="F165">
            <v>22</v>
          </cell>
          <cell r="G165">
            <v>2660.04</v>
          </cell>
          <cell r="H165">
            <v>30675.3</v>
          </cell>
          <cell r="I165">
            <v>24586.51</v>
          </cell>
          <cell r="J165">
            <v>6095.11</v>
          </cell>
          <cell r="K165">
            <v>100</v>
          </cell>
          <cell r="L165">
            <v>15.61</v>
          </cell>
          <cell r="M165">
            <v>0.81</v>
          </cell>
          <cell r="N165">
            <v>7</v>
          </cell>
          <cell r="O165">
            <v>1153.19</v>
          </cell>
        </row>
        <row r="166">
          <cell r="A166" t="str">
            <v>PDV_62025/4</v>
          </cell>
          <cell r="B166">
            <v>45748</v>
          </cell>
          <cell r="C166" t="str">
            <v>PDV_6</v>
          </cell>
          <cell r="D166" t="str">
            <v>RS</v>
          </cell>
          <cell r="E166">
            <v>20</v>
          </cell>
          <cell r="F166">
            <v>22</v>
          </cell>
          <cell r="G166">
            <v>2941.83</v>
          </cell>
          <cell r="H166">
            <v>18174.330000000002</v>
          </cell>
          <cell r="I166">
            <v>9643.02</v>
          </cell>
          <cell r="J166">
            <v>8719.42</v>
          </cell>
          <cell r="K166">
            <v>100</v>
          </cell>
          <cell r="L166">
            <v>15.61</v>
          </cell>
          <cell r="M166">
            <v>0.81</v>
          </cell>
          <cell r="N166">
            <v>20</v>
          </cell>
          <cell r="O166">
            <v>617.79</v>
          </cell>
        </row>
        <row r="167">
          <cell r="A167" t="str">
            <v>PDV_72025/4</v>
          </cell>
          <cell r="B167">
            <v>45748</v>
          </cell>
          <cell r="C167" t="str">
            <v>PDV_7</v>
          </cell>
          <cell r="D167" t="str">
            <v>RJ</v>
          </cell>
          <cell r="E167">
            <v>15</v>
          </cell>
          <cell r="F167">
            <v>22</v>
          </cell>
          <cell r="G167">
            <v>3223.73</v>
          </cell>
          <cell r="H167">
            <v>34646.53</v>
          </cell>
          <cell r="I167">
            <v>13439.43</v>
          </cell>
          <cell r="J167">
            <v>4384.8900000000003</v>
          </cell>
          <cell r="L167">
            <v>15.61</v>
          </cell>
          <cell r="M167">
            <v>0.81</v>
          </cell>
          <cell r="N167">
            <v>19</v>
          </cell>
          <cell r="O167">
            <v>1074.73</v>
          </cell>
        </row>
        <row r="168">
          <cell r="A168" t="str">
            <v>PDV_82025/4</v>
          </cell>
          <cell r="B168">
            <v>45748</v>
          </cell>
          <cell r="C168" t="str">
            <v>PDV_8</v>
          </cell>
          <cell r="D168" t="str">
            <v>SP</v>
          </cell>
          <cell r="E168">
            <v>35</v>
          </cell>
          <cell r="F168">
            <v>22</v>
          </cell>
          <cell r="G168">
            <v>2911.22</v>
          </cell>
          <cell r="H168">
            <v>14809</v>
          </cell>
          <cell r="I168">
            <v>9361.0499999999993</v>
          </cell>
          <cell r="J168">
            <v>5379.3</v>
          </cell>
          <cell r="K168">
            <v>100</v>
          </cell>
          <cell r="L168">
            <v>15.61</v>
          </cell>
          <cell r="M168">
            <v>0.81</v>
          </cell>
          <cell r="N168">
            <v>12</v>
          </cell>
          <cell r="O168">
            <v>508.69</v>
          </cell>
        </row>
        <row r="169">
          <cell r="A169" t="str">
            <v>PDV_92025/4</v>
          </cell>
          <cell r="B169">
            <v>45748</v>
          </cell>
          <cell r="C169" t="str">
            <v>PDV_9</v>
          </cell>
          <cell r="D169" t="str">
            <v>DF</v>
          </cell>
          <cell r="E169">
            <v>39</v>
          </cell>
          <cell r="F169">
            <v>22</v>
          </cell>
          <cell r="G169">
            <v>2934.54</v>
          </cell>
          <cell r="H169">
            <v>22296.51</v>
          </cell>
          <cell r="I169">
            <v>13572.33</v>
          </cell>
          <cell r="J169">
            <v>8673.76</v>
          </cell>
          <cell r="K169">
            <v>100</v>
          </cell>
          <cell r="L169">
            <v>15.61</v>
          </cell>
          <cell r="M169">
            <v>0.81</v>
          </cell>
          <cell r="N169">
            <v>1</v>
          </cell>
          <cell r="O169">
            <v>759.8</v>
          </cell>
        </row>
        <row r="170">
          <cell r="A170" t="str">
            <v>PDV_102025/4</v>
          </cell>
          <cell r="B170">
            <v>45748</v>
          </cell>
          <cell r="C170" t="str">
            <v>PDV_10</v>
          </cell>
          <cell r="D170" t="str">
            <v>SP</v>
          </cell>
          <cell r="E170">
            <v>7</v>
          </cell>
          <cell r="F170">
            <v>22</v>
          </cell>
          <cell r="G170">
            <v>2839.31</v>
          </cell>
          <cell r="H170">
            <v>22173.69</v>
          </cell>
          <cell r="I170">
            <v>11775.75</v>
          </cell>
          <cell r="J170">
            <v>10331.19</v>
          </cell>
          <cell r="K170">
            <v>100</v>
          </cell>
          <cell r="L170">
            <v>15.61</v>
          </cell>
          <cell r="M170">
            <v>0.81</v>
          </cell>
          <cell r="N170">
            <v>11</v>
          </cell>
          <cell r="O170">
            <v>780.95</v>
          </cell>
        </row>
        <row r="171">
          <cell r="A171" t="str">
            <v>PDV_112025/4</v>
          </cell>
          <cell r="B171">
            <v>45748</v>
          </cell>
          <cell r="C171" t="str">
            <v>PDV_11</v>
          </cell>
          <cell r="D171" t="str">
            <v>PE</v>
          </cell>
          <cell r="E171">
            <v>39</v>
          </cell>
          <cell r="F171">
            <v>22</v>
          </cell>
          <cell r="G171">
            <v>2783.34</v>
          </cell>
          <cell r="H171">
            <v>16467.47</v>
          </cell>
          <cell r="I171">
            <v>14218.39</v>
          </cell>
          <cell r="J171">
            <v>2297.9</v>
          </cell>
          <cell r="K171">
            <v>100</v>
          </cell>
          <cell r="L171">
            <v>15.61</v>
          </cell>
          <cell r="M171">
            <v>0.81</v>
          </cell>
          <cell r="N171">
            <v>16</v>
          </cell>
          <cell r="O171">
            <v>591.64</v>
          </cell>
        </row>
        <row r="172">
          <cell r="A172" t="str">
            <v>PDV_122025/4</v>
          </cell>
          <cell r="B172">
            <v>45748</v>
          </cell>
          <cell r="C172" t="str">
            <v>PDV_12</v>
          </cell>
          <cell r="D172" t="str">
            <v>BA</v>
          </cell>
          <cell r="E172">
            <v>19</v>
          </cell>
          <cell r="F172">
            <v>22</v>
          </cell>
          <cell r="G172">
            <v>3039.39</v>
          </cell>
          <cell r="H172">
            <v>17356.54</v>
          </cell>
          <cell r="I172">
            <v>13273.89</v>
          </cell>
          <cell r="J172">
            <v>3906.75</v>
          </cell>
          <cell r="K172">
            <v>100</v>
          </cell>
          <cell r="L172">
            <v>15.61</v>
          </cell>
          <cell r="M172">
            <v>0.81</v>
          </cell>
          <cell r="N172">
            <v>16</v>
          </cell>
          <cell r="O172">
            <v>571.04999999999995</v>
          </cell>
        </row>
        <row r="173">
          <cell r="A173" t="str">
            <v>PDV_132025/4</v>
          </cell>
          <cell r="B173">
            <v>45748</v>
          </cell>
          <cell r="C173" t="str">
            <v>PDV_13</v>
          </cell>
          <cell r="D173" t="str">
            <v>RJ</v>
          </cell>
          <cell r="E173">
            <v>39</v>
          </cell>
          <cell r="F173">
            <v>22</v>
          </cell>
          <cell r="G173">
            <v>2958.48</v>
          </cell>
          <cell r="H173">
            <v>26889.919999999998</v>
          </cell>
          <cell r="I173">
            <v>11612.5</v>
          </cell>
          <cell r="J173">
            <v>15403.49</v>
          </cell>
          <cell r="K173">
            <v>100</v>
          </cell>
          <cell r="L173">
            <v>15.61</v>
          </cell>
          <cell r="M173">
            <v>0.81</v>
          </cell>
          <cell r="N173">
            <v>18</v>
          </cell>
          <cell r="O173">
            <v>908.91</v>
          </cell>
        </row>
        <row r="174">
          <cell r="A174" t="str">
            <v>PDV_142025/4</v>
          </cell>
          <cell r="B174">
            <v>45748</v>
          </cell>
          <cell r="C174" t="str">
            <v>PDV_14</v>
          </cell>
          <cell r="D174" t="str">
            <v>MG</v>
          </cell>
          <cell r="E174">
            <v>29</v>
          </cell>
          <cell r="F174">
            <v>22</v>
          </cell>
          <cell r="G174">
            <v>2858.55</v>
          </cell>
          <cell r="H174">
            <v>23315.42</v>
          </cell>
          <cell r="I174">
            <v>13139.82</v>
          </cell>
          <cell r="K174">
            <v>100</v>
          </cell>
          <cell r="L174">
            <v>15.61</v>
          </cell>
          <cell r="M174">
            <v>0.81</v>
          </cell>
          <cell r="N174">
            <v>14</v>
          </cell>
          <cell r="O174">
            <v>815.64</v>
          </cell>
        </row>
        <row r="175">
          <cell r="A175" t="str">
            <v>PDV_152025/4</v>
          </cell>
          <cell r="B175">
            <v>45748</v>
          </cell>
          <cell r="C175" t="str">
            <v>PDV_15</v>
          </cell>
          <cell r="D175" t="str">
            <v>PR</v>
          </cell>
          <cell r="E175">
            <v>20</v>
          </cell>
          <cell r="F175">
            <v>22</v>
          </cell>
          <cell r="H175">
            <v>24902.11</v>
          </cell>
          <cell r="I175">
            <v>15343.25</v>
          </cell>
          <cell r="J175">
            <v>9636.9</v>
          </cell>
          <cell r="K175">
            <v>100</v>
          </cell>
          <cell r="L175">
            <v>15.61</v>
          </cell>
          <cell r="M175">
            <v>0.81</v>
          </cell>
          <cell r="N175">
            <v>6</v>
          </cell>
        </row>
        <row r="176">
          <cell r="A176" t="str">
            <v>PDV_162025/4</v>
          </cell>
          <cell r="B176">
            <v>45748</v>
          </cell>
          <cell r="C176" t="str">
            <v>PDV_16</v>
          </cell>
          <cell r="D176" t="str">
            <v>RJ</v>
          </cell>
          <cell r="E176">
            <v>41</v>
          </cell>
          <cell r="F176">
            <v>22</v>
          </cell>
          <cell r="G176">
            <v>3105.17</v>
          </cell>
          <cell r="H176">
            <v>34579.800000000003</v>
          </cell>
          <cell r="I176">
            <v>22294.73</v>
          </cell>
          <cell r="K176">
            <v>100</v>
          </cell>
          <cell r="L176">
            <v>15.61</v>
          </cell>
          <cell r="M176">
            <v>0.81</v>
          </cell>
          <cell r="N176">
            <v>10</v>
          </cell>
          <cell r="O176">
            <v>1113.6199999999999</v>
          </cell>
        </row>
        <row r="177">
          <cell r="A177" t="str">
            <v>PDV_172025/4</v>
          </cell>
          <cell r="B177">
            <v>45748</v>
          </cell>
          <cell r="C177" t="str">
            <v>PDV_17</v>
          </cell>
          <cell r="D177" t="str">
            <v>DF</v>
          </cell>
          <cell r="E177">
            <v>48</v>
          </cell>
          <cell r="F177">
            <v>22</v>
          </cell>
          <cell r="G177">
            <v>2906.86</v>
          </cell>
          <cell r="H177">
            <v>22269.88</v>
          </cell>
          <cell r="I177">
            <v>11338.35</v>
          </cell>
          <cell r="J177">
            <v>10920.72</v>
          </cell>
          <cell r="K177">
            <v>100</v>
          </cell>
          <cell r="L177">
            <v>15.61</v>
          </cell>
          <cell r="M177">
            <v>0.81</v>
          </cell>
          <cell r="N177">
            <v>13</v>
          </cell>
          <cell r="O177">
            <v>766.12</v>
          </cell>
        </row>
        <row r="178">
          <cell r="A178" t="str">
            <v>PDV_182025/4</v>
          </cell>
          <cell r="B178">
            <v>45748</v>
          </cell>
          <cell r="C178" t="str">
            <v>PDV_18</v>
          </cell>
          <cell r="D178" t="str">
            <v>MG</v>
          </cell>
          <cell r="E178">
            <v>21</v>
          </cell>
          <cell r="F178">
            <v>22</v>
          </cell>
          <cell r="G178">
            <v>2990.96</v>
          </cell>
          <cell r="H178">
            <v>32862.67</v>
          </cell>
          <cell r="I178">
            <v>15894.64</v>
          </cell>
          <cell r="J178">
            <v>16815.82</v>
          </cell>
          <cell r="K178">
            <v>100</v>
          </cell>
          <cell r="L178">
            <v>15.61</v>
          </cell>
          <cell r="M178">
            <v>0.81</v>
          </cell>
          <cell r="N178">
            <v>8</v>
          </cell>
          <cell r="O178">
            <v>1098.73</v>
          </cell>
        </row>
        <row r="179">
          <cell r="A179" t="str">
            <v>PDV_192025/4</v>
          </cell>
          <cell r="B179">
            <v>45748</v>
          </cell>
          <cell r="C179" t="str">
            <v>PDV_19</v>
          </cell>
          <cell r="D179" t="str">
            <v>SP</v>
          </cell>
          <cell r="E179">
            <v>14</v>
          </cell>
          <cell r="F179">
            <v>22</v>
          </cell>
          <cell r="G179">
            <v>2961.56</v>
          </cell>
          <cell r="H179">
            <v>26351.01</v>
          </cell>
          <cell r="I179">
            <v>20698.11</v>
          </cell>
          <cell r="J179">
            <v>5717.24</v>
          </cell>
          <cell r="K179">
            <v>100</v>
          </cell>
          <cell r="L179">
            <v>15.61</v>
          </cell>
          <cell r="M179">
            <v>0.81</v>
          </cell>
          <cell r="N179">
            <v>17</v>
          </cell>
          <cell r="O179">
            <v>889.77</v>
          </cell>
        </row>
        <row r="180">
          <cell r="A180" t="str">
            <v>PDV_202025/4</v>
          </cell>
          <cell r="B180">
            <v>45748</v>
          </cell>
          <cell r="C180" t="str">
            <v>PDV_20</v>
          </cell>
          <cell r="D180" t="str">
            <v>PE</v>
          </cell>
          <cell r="E180">
            <v>34</v>
          </cell>
          <cell r="F180">
            <v>22</v>
          </cell>
          <cell r="G180">
            <v>2909.56</v>
          </cell>
          <cell r="H180">
            <v>18566.37</v>
          </cell>
          <cell r="I180">
            <v>14465.39</v>
          </cell>
          <cell r="J180">
            <v>4280.8100000000004</v>
          </cell>
          <cell r="K180">
            <v>100</v>
          </cell>
          <cell r="L180">
            <v>15.61</v>
          </cell>
          <cell r="M180">
            <v>0.81</v>
          </cell>
          <cell r="N180">
            <v>13</v>
          </cell>
          <cell r="O180">
            <v>638.12</v>
          </cell>
        </row>
        <row r="181">
          <cell r="A181" t="str">
            <v>PDV_212025/4</v>
          </cell>
          <cell r="B181">
            <v>45748</v>
          </cell>
          <cell r="C181" t="str">
            <v>PDV_21</v>
          </cell>
          <cell r="D181" t="str">
            <v>SP</v>
          </cell>
          <cell r="E181">
            <v>27</v>
          </cell>
          <cell r="F181">
            <v>22</v>
          </cell>
          <cell r="G181">
            <v>3127.6</v>
          </cell>
          <cell r="H181">
            <v>30443.47</v>
          </cell>
          <cell r="I181">
            <v>15377.76</v>
          </cell>
          <cell r="J181">
            <v>15001.1</v>
          </cell>
          <cell r="K181">
            <v>100</v>
          </cell>
          <cell r="L181">
            <v>15.61</v>
          </cell>
          <cell r="M181">
            <v>0.81</v>
          </cell>
          <cell r="N181">
            <v>16</v>
          </cell>
          <cell r="O181">
            <v>973.38</v>
          </cell>
        </row>
        <row r="182">
          <cell r="A182" t="str">
            <v>PDV_222025/4</v>
          </cell>
          <cell r="B182">
            <v>45748</v>
          </cell>
          <cell r="C182" t="str">
            <v>PDV_22</v>
          </cell>
          <cell r="D182" t="str">
            <v>RS</v>
          </cell>
          <cell r="E182">
            <v>7</v>
          </cell>
          <cell r="F182">
            <v>22</v>
          </cell>
          <cell r="G182">
            <v>2912.4</v>
          </cell>
          <cell r="H182">
            <v>26298.79</v>
          </cell>
          <cell r="I182">
            <v>14164.68</v>
          </cell>
          <cell r="J182">
            <v>12128.64</v>
          </cell>
          <cell r="K182">
            <v>100</v>
          </cell>
          <cell r="L182">
            <v>15.61</v>
          </cell>
          <cell r="M182">
            <v>0.81</v>
          </cell>
          <cell r="N182">
            <v>10</v>
          </cell>
          <cell r="O182">
            <v>902.99</v>
          </cell>
        </row>
        <row r="183">
          <cell r="A183" t="str">
            <v>PDV_232025/4</v>
          </cell>
          <cell r="B183">
            <v>45748</v>
          </cell>
          <cell r="C183" t="str">
            <v>PDV_23</v>
          </cell>
          <cell r="D183" t="str">
            <v>RJ</v>
          </cell>
          <cell r="E183">
            <v>32</v>
          </cell>
          <cell r="F183">
            <v>22</v>
          </cell>
          <cell r="G183">
            <v>2935.65</v>
          </cell>
          <cell r="H183">
            <v>15470.36</v>
          </cell>
          <cell r="I183">
            <v>17802.09</v>
          </cell>
          <cell r="J183">
            <v>7698.45</v>
          </cell>
          <cell r="K183">
            <v>88.13</v>
          </cell>
          <cell r="L183">
            <v>15.61</v>
          </cell>
          <cell r="M183">
            <v>0.81</v>
          </cell>
          <cell r="N183">
            <v>11</v>
          </cell>
          <cell r="O183">
            <v>526.98</v>
          </cell>
        </row>
        <row r="184">
          <cell r="A184" t="str">
            <v>PDV_242025/4</v>
          </cell>
          <cell r="B184">
            <v>45748</v>
          </cell>
          <cell r="C184" t="str">
            <v>PDV_24</v>
          </cell>
          <cell r="D184" t="str">
            <v>PE</v>
          </cell>
          <cell r="E184">
            <v>49</v>
          </cell>
          <cell r="F184">
            <v>22</v>
          </cell>
          <cell r="G184">
            <v>3012.14</v>
          </cell>
          <cell r="H184">
            <v>15620.1</v>
          </cell>
          <cell r="I184">
            <v>13330.67</v>
          </cell>
          <cell r="J184">
            <v>2305.08</v>
          </cell>
          <cell r="K184">
            <v>100</v>
          </cell>
          <cell r="L184">
            <v>15.61</v>
          </cell>
          <cell r="M184">
            <v>0.81</v>
          </cell>
          <cell r="N184">
            <v>18</v>
          </cell>
          <cell r="O184">
            <v>518.57000000000005</v>
          </cell>
        </row>
        <row r="185">
          <cell r="A185" t="str">
            <v>PDV_252025/4</v>
          </cell>
          <cell r="B185">
            <v>45748</v>
          </cell>
          <cell r="C185" t="str">
            <v>PDV_25</v>
          </cell>
          <cell r="D185" t="str">
            <v>PE</v>
          </cell>
          <cell r="E185">
            <v>9</v>
          </cell>
          <cell r="F185">
            <v>22</v>
          </cell>
          <cell r="G185">
            <v>2848.59</v>
          </cell>
          <cell r="H185">
            <v>19482.32</v>
          </cell>
          <cell r="I185">
            <v>9572.1299999999992</v>
          </cell>
          <cell r="J185">
            <v>9896.2000000000007</v>
          </cell>
          <cell r="L185">
            <v>15.61</v>
          </cell>
          <cell r="M185">
            <v>0.81</v>
          </cell>
          <cell r="N185">
            <v>10</v>
          </cell>
          <cell r="O185">
            <v>683.93</v>
          </cell>
        </row>
        <row r="186">
          <cell r="A186" t="str">
            <v>PDV_262025/4</v>
          </cell>
          <cell r="B186">
            <v>45748</v>
          </cell>
          <cell r="C186" t="str">
            <v>PDV_26</v>
          </cell>
          <cell r="D186" t="str">
            <v>SP</v>
          </cell>
          <cell r="E186">
            <v>36</v>
          </cell>
          <cell r="F186">
            <v>22</v>
          </cell>
          <cell r="G186">
            <v>3070.1</v>
          </cell>
          <cell r="H186">
            <v>28115.919999999998</v>
          </cell>
          <cell r="I186">
            <v>19568.41</v>
          </cell>
          <cell r="J186">
            <v>8509.15</v>
          </cell>
          <cell r="K186">
            <v>100</v>
          </cell>
          <cell r="L186">
            <v>15.61</v>
          </cell>
          <cell r="M186">
            <v>0.81</v>
          </cell>
          <cell r="N186">
            <v>12</v>
          </cell>
          <cell r="O186">
            <v>915.8</v>
          </cell>
        </row>
        <row r="187">
          <cell r="A187" t="str">
            <v>PDV_272025/4</v>
          </cell>
          <cell r="B187">
            <v>45748</v>
          </cell>
          <cell r="C187" t="str">
            <v>PDV_27</v>
          </cell>
          <cell r="D187" t="str">
            <v>RS</v>
          </cell>
          <cell r="E187">
            <v>6</v>
          </cell>
          <cell r="F187">
            <v>22</v>
          </cell>
          <cell r="G187">
            <v>2852.77</v>
          </cell>
          <cell r="H187">
            <v>15473.46</v>
          </cell>
          <cell r="I187">
            <v>13421.93</v>
          </cell>
          <cell r="J187">
            <v>2159.33</v>
          </cell>
          <cell r="K187">
            <v>100</v>
          </cell>
          <cell r="L187">
            <v>15.61</v>
          </cell>
          <cell r="M187">
            <v>0.81</v>
          </cell>
          <cell r="N187">
            <v>10</v>
          </cell>
          <cell r="O187">
            <v>542.4</v>
          </cell>
        </row>
        <row r="188">
          <cell r="A188" t="str">
            <v>PDV_282025/4</v>
          </cell>
          <cell r="B188">
            <v>45748</v>
          </cell>
          <cell r="C188" t="str">
            <v>PDV_28</v>
          </cell>
          <cell r="D188" t="str">
            <v>SP</v>
          </cell>
          <cell r="E188">
            <v>18</v>
          </cell>
          <cell r="F188">
            <v>22</v>
          </cell>
          <cell r="G188">
            <v>2554.0100000000002</v>
          </cell>
          <cell r="H188">
            <v>16864.54</v>
          </cell>
          <cell r="I188">
            <v>12162.46</v>
          </cell>
          <cell r="J188">
            <v>4762.45</v>
          </cell>
          <cell r="K188">
            <v>100</v>
          </cell>
          <cell r="L188">
            <v>15.61</v>
          </cell>
          <cell r="M188">
            <v>0.81</v>
          </cell>
          <cell r="N188">
            <v>5</v>
          </cell>
          <cell r="O188">
            <v>660.32</v>
          </cell>
        </row>
        <row r="189">
          <cell r="A189" t="str">
            <v>PDV_292025/4</v>
          </cell>
          <cell r="B189">
            <v>45748</v>
          </cell>
          <cell r="C189" t="str">
            <v>PDV_29</v>
          </cell>
          <cell r="D189" t="str">
            <v>MG</v>
          </cell>
          <cell r="E189">
            <v>24</v>
          </cell>
          <cell r="F189">
            <v>22</v>
          </cell>
          <cell r="G189">
            <v>3095.72</v>
          </cell>
          <cell r="H189">
            <v>23748.45</v>
          </cell>
          <cell r="I189">
            <v>15204.91</v>
          </cell>
          <cell r="J189">
            <v>8610.89</v>
          </cell>
          <cell r="K189">
            <v>100</v>
          </cell>
          <cell r="L189">
            <v>15.61</v>
          </cell>
          <cell r="M189">
            <v>0.81</v>
          </cell>
          <cell r="N189">
            <v>8</v>
          </cell>
          <cell r="O189">
            <v>767.14</v>
          </cell>
        </row>
        <row r="190">
          <cell r="A190" t="str">
            <v>PDV_302025/4</v>
          </cell>
          <cell r="B190">
            <v>45748</v>
          </cell>
          <cell r="C190" t="str">
            <v>PDV_30</v>
          </cell>
          <cell r="D190" t="str">
            <v>SP</v>
          </cell>
          <cell r="E190">
            <v>41</v>
          </cell>
          <cell r="F190">
            <v>22</v>
          </cell>
          <cell r="G190">
            <v>2766.14</v>
          </cell>
          <cell r="H190">
            <v>19101.5</v>
          </cell>
          <cell r="I190">
            <v>9503.33</v>
          </cell>
          <cell r="J190">
            <v>9725.67</v>
          </cell>
          <cell r="K190">
            <v>100</v>
          </cell>
          <cell r="L190">
            <v>15.61</v>
          </cell>
          <cell r="M190">
            <v>0.81</v>
          </cell>
          <cell r="N190">
            <v>19</v>
          </cell>
          <cell r="O190">
            <v>690.55</v>
          </cell>
        </row>
        <row r="191">
          <cell r="A191" t="str">
            <v>PDV_312025/4</v>
          </cell>
          <cell r="B191">
            <v>45748</v>
          </cell>
          <cell r="C191" t="str">
            <v>PDV_31</v>
          </cell>
          <cell r="D191" t="str">
            <v>SP</v>
          </cell>
          <cell r="E191">
            <v>9</v>
          </cell>
          <cell r="F191">
            <v>22</v>
          </cell>
          <cell r="G191">
            <v>2794.05</v>
          </cell>
          <cell r="H191">
            <v>26222.25</v>
          </cell>
          <cell r="I191">
            <v>13399.62</v>
          </cell>
          <cell r="J191">
            <v>12759.72</v>
          </cell>
          <cell r="K191">
            <v>100</v>
          </cell>
          <cell r="L191">
            <v>15.61</v>
          </cell>
          <cell r="M191">
            <v>0.81</v>
          </cell>
          <cell r="N191">
            <v>11</v>
          </cell>
          <cell r="O191">
            <v>938.5</v>
          </cell>
        </row>
        <row r="192">
          <cell r="A192" t="str">
            <v>PDV_322025/4</v>
          </cell>
          <cell r="B192">
            <v>45748</v>
          </cell>
          <cell r="C192" t="str">
            <v>PDV_32</v>
          </cell>
          <cell r="D192" t="str">
            <v>SP</v>
          </cell>
          <cell r="E192">
            <v>32</v>
          </cell>
          <cell r="F192">
            <v>22</v>
          </cell>
          <cell r="G192">
            <v>2865.69</v>
          </cell>
          <cell r="H192">
            <v>16466.23</v>
          </cell>
          <cell r="I192">
            <v>8072.4</v>
          </cell>
          <cell r="J192">
            <v>8279.14</v>
          </cell>
          <cell r="K192">
            <v>100</v>
          </cell>
          <cell r="L192">
            <v>15.61</v>
          </cell>
          <cell r="M192">
            <v>0.81</v>
          </cell>
          <cell r="N192">
            <v>18</v>
          </cell>
          <cell r="O192">
            <v>574.6</v>
          </cell>
        </row>
        <row r="193">
          <cell r="A193" t="str">
            <v>PDV_332025/4</v>
          </cell>
          <cell r="B193">
            <v>45748</v>
          </cell>
          <cell r="C193" t="str">
            <v>PDV_33</v>
          </cell>
          <cell r="D193" t="str">
            <v>MG</v>
          </cell>
          <cell r="E193">
            <v>8</v>
          </cell>
          <cell r="F193">
            <v>22</v>
          </cell>
          <cell r="G193">
            <v>3271.78</v>
          </cell>
          <cell r="H193">
            <v>36801.42</v>
          </cell>
          <cell r="I193">
            <v>29346.86</v>
          </cell>
          <cell r="J193">
            <v>7439.28</v>
          </cell>
          <cell r="K193">
            <v>100</v>
          </cell>
          <cell r="L193">
            <v>15.61</v>
          </cell>
          <cell r="M193">
            <v>0.81</v>
          </cell>
          <cell r="N193">
            <v>14</v>
          </cell>
          <cell r="O193">
            <v>1124.81</v>
          </cell>
        </row>
        <row r="194">
          <cell r="A194" t="str">
            <v>PDV_342025/4</v>
          </cell>
          <cell r="B194">
            <v>45748</v>
          </cell>
          <cell r="C194" t="str">
            <v>PDV_34</v>
          </cell>
          <cell r="D194" t="str">
            <v>SP</v>
          </cell>
          <cell r="E194">
            <v>12</v>
          </cell>
          <cell r="F194">
            <v>22</v>
          </cell>
          <cell r="G194">
            <v>2456.83</v>
          </cell>
          <cell r="H194">
            <v>18449.5</v>
          </cell>
          <cell r="I194">
            <v>10670.64</v>
          </cell>
          <cell r="J194">
            <v>7735.03</v>
          </cell>
          <cell r="K194">
            <v>100</v>
          </cell>
          <cell r="L194">
            <v>15.61</v>
          </cell>
          <cell r="M194">
            <v>0.81</v>
          </cell>
          <cell r="N194">
            <v>12</v>
          </cell>
          <cell r="O194">
            <v>750.95</v>
          </cell>
        </row>
        <row r="195">
          <cell r="A195" t="str">
            <v>PDV_352025/4</v>
          </cell>
          <cell r="B195">
            <v>45748</v>
          </cell>
          <cell r="C195" t="str">
            <v>PDV_35</v>
          </cell>
          <cell r="D195" t="str">
            <v>SP</v>
          </cell>
          <cell r="E195">
            <v>6</v>
          </cell>
          <cell r="F195">
            <v>22</v>
          </cell>
          <cell r="G195">
            <v>2724.17</v>
          </cell>
          <cell r="H195">
            <v>26971.77</v>
          </cell>
          <cell r="I195">
            <v>18190.310000000001</v>
          </cell>
          <cell r="J195">
            <v>8612.27</v>
          </cell>
          <cell r="K195">
            <v>100</v>
          </cell>
          <cell r="L195">
            <v>15.61</v>
          </cell>
          <cell r="M195">
            <v>0.81</v>
          </cell>
          <cell r="N195">
            <v>17</v>
          </cell>
          <cell r="O195">
            <v>990.09</v>
          </cell>
        </row>
        <row r="196">
          <cell r="A196" t="str">
            <v>PDV_362025/4</v>
          </cell>
          <cell r="B196">
            <v>45748</v>
          </cell>
          <cell r="C196" t="str">
            <v>PDV_36</v>
          </cell>
          <cell r="D196" t="str">
            <v>SP</v>
          </cell>
          <cell r="E196">
            <v>19</v>
          </cell>
          <cell r="F196">
            <v>22</v>
          </cell>
          <cell r="G196">
            <v>2906.65</v>
          </cell>
          <cell r="H196">
            <v>24854.18</v>
          </cell>
          <cell r="I196">
            <v>14701.02</v>
          </cell>
          <cell r="J196">
            <v>9991.74</v>
          </cell>
          <cell r="K196">
            <v>100</v>
          </cell>
          <cell r="L196">
            <v>15.61</v>
          </cell>
          <cell r="M196">
            <v>0.81</v>
          </cell>
          <cell r="N196">
            <v>3</v>
          </cell>
          <cell r="O196">
            <v>855.08</v>
          </cell>
        </row>
        <row r="197">
          <cell r="A197" t="str">
            <v>PDV_372025/4</v>
          </cell>
          <cell r="B197">
            <v>45748</v>
          </cell>
          <cell r="C197" t="str">
            <v>PDV_37</v>
          </cell>
          <cell r="D197" t="str">
            <v>PR</v>
          </cell>
          <cell r="E197">
            <v>12</v>
          </cell>
          <cell r="F197">
            <v>22</v>
          </cell>
          <cell r="G197">
            <v>3128.29</v>
          </cell>
          <cell r="H197">
            <v>19236.68</v>
          </cell>
          <cell r="I197">
            <v>11442.28</v>
          </cell>
          <cell r="J197">
            <v>7796.62</v>
          </cell>
          <cell r="K197">
            <v>100</v>
          </cell>
          <cell r="L197">
            <v>15.61</v>
          </cell>
          <cell r="M197">
            <v>0.81</v>
          </cell>
          <cell r="N197">
            <v>11</v>
          </cell>
          <cell r="O197">
            <v>614.92999999999995</v>
          </cell>
        </row>
        <row r="198">
          <cell r="A198" t="str">
            <v>PDV_382025/4</v>
          </cell>
          <cell r="B198">
            <v>45748</v>
          </cell>
          <cell r="C198" t="str">
            <v>PDV_38</v>
          </cell>
          <cell r="D198" t="str">
            <v>RS</v>
          </cell>
          <cell r="E198">
            <v>21</v>
          </cell>
          <cell r="F198">
            <v>22</v>
          </cell>
          <cell r="G198">
            <v>2883.69</v>
          </cell>
          <cell r="H198">
            <v>29681.18</v>
          </cell>
          <cell r="I198">
            <v>19418.78</v>
          </cell>
          <cell r="J198">
            <v>10264.74</v>
          </cell>
          <cell r="L198">
            <v>15.61</v>
          </cell>
          <cell r="M198">
            <v>0.81</v>
          </cell>
          <cell r="N198">
            <v>8</v>
          </cell>
          <cell r="O198">
            <v>1029.28</v>
          </cell>
        </row>
        <row r="199">
          <cell r="A199" t="str">
            <v>PDV_392025/4</v>
          </cell>
          <cell r="B199">
            <v>45748</v>
          </cell>
          <cell r="C199" t="str">
            <v>PDV_39</v>
          </cell>
          <cell r="D199" t="str">
            <v>SP</v>
          </cell>
          <cell r="E199">
            <v>7</v>
          </cell>
          <cell r="F199">
            <v>22</v>
          </cell>
          <cell r="G199">
            <v>3232.4</v>
          </cell>
          <cell r="H199">
            <v>15706.77</v>
          </cell>
          <cell r="I199">
            <v>8021.72</v>
          </cell>
          <cell r="J199">
            <v>7584.67</v>
          </cell>
          <cell r="K199">
            <v>100</v>
          </cell>
          <cell r="L199">
            <v>15.61</v>
          </cell>
          <cell r="M199">
            <v>0.81</v>
          </cell>
          <cell r="N199">
            <v>10</v>
          </cell>
          <cell r="O199">
            <v>485.92</v>
          </cell>
        </row>
        <row r="200">
          <cell r="A200" t="str">
            <v>PDV_402025/4</v>
          </cell>
          <cell r="B200">
            <v>45748</v>
          </cell>
          <cell r="C200" t="str">
            <v>PDV_40</v>
          </cell>
          <cell r="D200" t="str">
            <v>PR</v>
          </cell>
          <cell r="E200">
            <v>46</v>
          </cell>
          <cell r="F200">
            <v>22</v>
          </cell>
          <cell r="G200">
            <v>2767.99</v>
          </cell>
          <cell r="H200">
            <v>26176.05</v>
          </cell>
          <cell r="I200">
            <v>15209.37</v>
          </cell>
          <cell r="J200">
            <v>10937.05</v>
          </cell>
          <cell r="L200">
            <v>15.61</v>
          </cell>
          <cell r="M200">
            <v>0.81</v>
          </cell>
          <cell r="N200">
            <v>20</v>
          </cell>
          <cell r="O200">
            <v>945.67</v>
          </cell>
        </row>
        <row r="201">
          <cell r="A201" t="str">
            <v>PDV_412025/4</v>
          </cell>
          <cell r="B201">
            <v>45748</v>
          </cell>
          <cell r="C201" t="str">
            <v>PDV_41</v>
          </cell>
          <cell r="D201" t="str">
            <v>MG</v>
          </cell>
          <cell r="E201">
            <v>35</v>
          </cell>
          <cell r="F201">
            <v>22</v>
          </cell>
          <cell r="G201">
            <v>3060.83</v>
          </cell>
          <cell r="H201">
            <v>19763.810000000001</v>
          </cell>
          <cell r="I201">
            <v>10990.19</v>
          </cell>
          <cell r="J201">
            <v>8760.33</v>
          </cell>
          <cell r="K201">
            <v>100</v>
          </cell>
          <cell r="L201">
            <v>15.61</v>
          </cell>
          <cell r="M201">
            <v>0.81</v>
          </cell>
          <cell r="N201">
            <v>13</v>
          </cell>
          <cell r="O201">
            <v>645.70000000000005</v>
          </cell>
        </row>
        <row r="202">
          <cell r="A202" t="str">
            <v>PDV_422025/4</v>
          </cell>
          <cell r="B202">
            <v>45748</v>
          </cell>
          <cell r="C202" t="str">
            <v>PDV_42</v>
          </cell>
          <cell r="D202" t="str">
            <v>SP</v>
          </cell>
          <cell r="E202">
            <v>24</v>
          </cell>
          <cell r="F202">
            <v>22</v>
          </cell>
          <cell r="G202">
            <v>3198.38</v>
          </cell>
          <cell r="H202">
            <v>27797.8</v>
          </cell>
          <cell r="I202">
            <v>19721.439999999999</v>
          </cell>
          <cell r="J202">
            <v>7950.29</v>
          </cell>
          <cell r="L202">
            <v>15.61</v>
          </cell>
          <cell r="M202">
            <v>0.81</v>
          </cell>
          <cell r="N202">
            <v>19</v>
          </cell>
          <cell r="O202">
            <v>869.12</v>
          </cell>
        </row>
        <row r="203">
          <cell r="A203" t="str">
            <v>PDV_432025/4</v>
          </cell>
          <cell r="B203">
            <v>45748</v>
          </cell>
          <cell r="C203" t="str">
            <v>PDV_43</v>
          </cell>
          <cell r="D203" t="str">
            <v>MG</v>
          </cell>
          <cell r="E203">
            <v>39</v>
          </cell>
          <cell r="F203">
            <v>22</v>
          </cell>
          <cell r="G203">
            <v>3009.63</v>
          </cell>
          <cell r="H203">
            <v>16421.5</v>
          </cell>
          <cell r="I203">
            <v>13684.39</v>
          </cell>
          <cell r="J203">
            <v>2532.0700000000002</v>
          </cell>
          <cell r="K203">
            <v>100</v>
          </cell>
          <cell r="L203">
            <v>15.61</v>
          </cell>
          <cell r="M203">
            <v>0.81</v>
          </cell>
          <cell r="N203">
            <v>4</v>
          </cell>
          <cell r="O203">
            <v>545.63</v>
          </cell>
        </row>
        <row r="204">
          <cell r="A204" t="str">
            <v>PDV_442025/4</v>
          </cell>
          <cell r="B204">
            <v>45748</v>
          </cell>
          <cell r="C204" t="str">
            <v>PDV_44</v>
          </cell>
          <cell r="D204" t="str">
            <v>RS</v>
          </cell>
          <cell r="E204">
            <v>32</v>
          </cell>
          <cell r="F204">
            <v>22</v>
          </cell>
          <cell r="G204">
            <v>2926.08</v>
          </cell>
          <cell r="H204">
            <v>30338.23</v>
          </cell>
          <cell r="I204">
            <v>14634.45</v>
          </cell>
          <cell r="J204">
            <v>15778.87</v>
          </cell>
          <cell r="K204">
            <v>100</v>
          </cell>
          <cell r="L204">
            <v>15.61</v>
          </cell>
          <cell r="M204">
            <v>0.81</v>
          </cell>
          <cell r="N204">
            <v>6</v>
          </cell>
          <cell r="O204">
            <v>1036.82</v>
          </cell>
        </row>
        <row r="205">
          <cell r="A205" t="str">
            <v>PDV_452025/4</v>
          </cell>
          <cell r="B205">
            <v>45748</v>
          </cell>
          <cell r="C205" t="str">
            <v>PDV_45</v>
          </cell>
          <cell r="D205" t="str">
            <v>PE</v>
          </cell>
          <cell r="E205">
            <v>35</v>
          </cell>
          <cell r="F205">
            <v>22</v>
          </cell>
          <cell r="G205">
            <v>3142.4</v>
          </cell>
          <cell r="H205">
            <v>29872.77</v>
          </cell>
          <cell r="I205">
            <v>16865.47</v>
          </cell>
          <cell r="J205">
            <v>12997.72</v>
          </cell>
          <cell r="K205">
            <v>100</v>
          </cell>
          <cell r="L205">
            <v>15.61</v>
          </cell>
          <cell r="M205">
            <v>0.81</v>
          </cell>
          <cell r="N205">
            <v>7</v>
          </cell>
          <cell r="O205">
            <v>950.64</v>
          </cell>
        </row>
        <row r="206">
          <cell r="A206" t="str">
            <v>PDV_462025/4</v>
          </cell>
          <cell r="B206">
            <v>45748</v>
          </cell>
          <cell r="C206" t="str">
            <v>PDV_46</v>
          </cell>
          <cell r="D206" t="str">
            <v>PE</v>
          </cell>
          <cell r="E206">
            <v>44</v>
          </cell>
          <cell r="F206">
            <v>22</v>
          </cell>
          <cell r="G206">
            <v>2860.51</v>
          </cell>
          <cell r="H206">
            <v>17886.52</v>
          </cell>
          <cell r="I206">
            <v>8902.2999999999993</v>
          </cell>
          <cell r="J206">
            <v>9043.58</v>
          </cell>
          <cell r="K206">
            <v>100</v>
          </cell>
          <cell r="L206">
            <v>15.61</v>
          </cell>
          <cell r="M206">
            <v>0.81</v>
          </cell>
          <cell r="N206">
            <v>2</v>
          </cell>
          <cell r="O206">
            <v>625.29</v>
          </cell>
        </row>
        <row r="207">
          <cell r="A207" t="str">
            <v>PDV_472025/4</v>
          </cell>
          <cell r="B207">
            <v>45748</v>
          </cell>
          <cell r="C207" t="str">
            <v>PDV_47</v>
          </cell>
          <cell r="D207" t="str">
            <v>RJ</v>
          </cell>
          <cell r="E207">
            <v>50</v>
          </cell>
          <cell r="F207">
            <v>22</v>
          </cell>
          <cell r="G207">
            <v>2525.7600000000002</v>
          </cell>
          <cell r="H207">
            <v>26381.919999999998</v>
          </cell>
          <cell r="I207">
            <v>15586.27</v>
          </cell>
          <cell r="J207">
            <v>10769.36</v>
          </cell>
          <cell r="K207">
            <v>100</v>
          </cell>
          <cell r="L207">
            <v>15.61</v>
          </cell>
          <cell r="M207">
            <v>0.81</v>
          </cell>
          <cell r="N207">
            <v>10</v>
          </cell>
          <cell r="O207">
            <v>1044.51</v>
          </cell>
        </row>
        <row r="208">
          <cell r="A208" t="str">
            <v>PDV_482025/4</v>
          </cell>
          <cell r="B208">
            <v>45748</v>
          </cell>
          <cell r="C208" t="str">
            <v>PDV_48</v>
          </cell>
          <cell r="D208" t="str">
            <v>DF</v>
          </cell>
          <cell r="E208">
            <v>43</v>
          </cell>
          <cell r="F208">
            <v>22</v>
          </cell>
          <cell r="G208">
            <v>2872.86</v>
          </cell>
          <cell r="H208">
            <v>30208.54</v>
          </cell>
          <cell r="I208">
            <v>22972.37</v>
          </cell>
          <cell r="J208">
            <v>7271.27</v>
          </cell>
          <cell r="K208">
            <v>100</v>
          </cell>
          <cell r="L208">
            <v>15.61</v>
          </cell>
          <cell r="M208">
            <v>0.81</v>
          </cell>
          <cell r="N208">
            <v>17</v>
          </cell>
          <cell r="O208">
            <v>1051.51</v>
          </cell>
        </row>
        <row r="209">
          <cell r="A209" t="str">
            <v>PDV_492025/4</v>
          </cell>
          <cell r="B209">
            <v>45748</v>
          </cell>
          <cell r="C209" t="str">
            <v>PDV_49</v>
          </cell>
          <cell r="D209" t="str">
            <v>MG</v>
          </cell>
          <cell r="E209">
            <v>49</v>
          </cell>
          <cell r="F209">
            <v>22</v>
          </cell>
          <cell r="G209">
            <v>3079.69</v>
          </cell>
          <cell r="H209">
            <v>20958.490000000002</v>
          </cell>
          <cell r="I209">
            <v>11636.86</v>
          </cell>
          <cell r="J209">
            <v>9292.01</v>
          </cell>
          <cell r="K209">
            <v>100</v>
          </cell>
          <cell r="L209">
            <v>15.61</v>
          </cell>
          <cell r="M209">
            <v>0.81</v>
          </cell>
          <cell r="N209">
            <v>5</v>
          </cell>
          <cell r="O209">
            <v>680.54</v>
          </cell>
        </row>
        <row r="210">
          <cell r="A210" t="str">
            <v>PDV_502025/4</v>
          </cell>
          <cell r="B210">
            <v>45748</v>
          </cell>
          <cell r="C210" t="str">
            <v>PDV_50</v>
          </cell>
          <cell r="D210" t="str">
            <v>RJ</v>
          </cell>
          <cell r="E210">
            <v>23</v>
          </cell>
          <cell r="F210">
            <v>22</v>
          </cell>
          <cell r="H210">
            <v>27702.04</v>
          </cell>
          <cell r="I210">
            <v>14348.79</v>
          </cell>
          <cell r="J210">
            <v>13184.27</v>
          </cell>
          <cell r="K210">
            <v>100</v>
          </cell>
          <cell r="L210">
            <v>15.61</v>
          </cell>
          <cell r="M210">
            <v>0.81</v>
          </cell>
          <cell r="N210">
            <v>6</v>
          </cell>
        </row>
        <row r="211">
          <cell r="A211" t="str">
            <v>PDV_512025/4</v>
          </cell>
          <cell r="B211">
            <v>45748</v>
          </cell>
          <cell r="C211" t="str">
            <v>PDV_51</v>
          </cell>
          <cell r="D211" t="str">
            <v>MG</v>
          </cell>
          <cell r="E211">
            <v>5</v>
          </cell>
          <cell r="F211">
            <v>22</v>
          </cell>
          <cell r="G211">
            <v>2839.63</v>
          </cell>
          <cell r="H211">
            <v>13924.19</v>
          </cell>
          <cell r="I211">
            <v>8278.73</v>
          </cell>
          <cell r="J211">
            <v>5682.08</v>
          </cell>
          <cell r="K211">
            <v>100</v>
          </cell>
          <cell r="L211">
            <v>15.61</v>
          </cell>
          <cell r="M211">
            <v>0.81</v>
          </cell>
          <cell r="N211">
            <v>5</v>
          </cell>
          <cell r="O211">
            <v>490.35</v>
          </cell>
        </row>
        <row r="212">
          <cell r="A212" t="str">
            <v>PDV_522025/4</v>
          </cell>
          <cell r="B212">
            <v>45748</v>
          </cell>
          <cell r="C212" t="str">
            <v>PDV_52</v>
          </cell>
          <cell r="D212" t="str">
            <v>RJ</v>
          </cell>
          <cell r="E212">
            <v>39</v>
          </cell>
          <cell r="F212">
            <v>22</v>
          </cell>
          <cell r="G212">
            <v>2849.83</v>
          </cell>
          <cell r="H212">
            <v>29636.63</v>
          </cell>
          <cell r="I212">
            <v>17606.27</v>
          </cell>
          <cell r="L212">
            <v>15.61</v>
          </cell>
          <cell r="M212">
            <v>0.81</v>
          </cell>
          <cell r="N212">
            <v>11</v>
          </cell>
          <cell r="O212">
            <v>1039.94</v>
          </cell>
        </row>
        <row r="213">
          <cell r="A213" t="str">
            <v>PDV_532025/4</v>
          </cell>
          <cell r="B213">
            <v>45748</v>
          </cell>
          <cell r="C213" t="str">
            <v>PDV_53</v>
          </cell>
          <cell r="D213" t="str">
            <v>SP</v>
          </cell>
          <cell r="E213">
            <v>15</v>
          </cell>
          <cell r="F213">
            <v>22</v>
          </cell>
          <cell r="G213">
            <v>2595.86</v>
          </cell>
          <cell r="H213">
            <v>20345.849999999999</v>
          </cell>
          <cell r="I213">
            <v>14466.33</v>
          </cell>
          <cell r="J213">
            <v>5901.38</v>
          </cell>
          <cell r="K213">
            <v>100</v>
          </cell>
          <cell r="L213">
            <v>15.61</v>
          </cell>
          <cell r="M213">
            <v>0.81</v>
          </cell>
          <cell r="N213">
            <v>6</v>
          </cell>
          <cell r="O213">
            <v>783.78</v>
          </cell>
        </row>
        <row r="214">
          <cell r="A214" t="str">
            <v>PDV_12025/5</v>
          </cell>
          <cell r="B214">
            <v>45778</v>
          </cell>
          <cell r="C214" t="str">
            <v>PDV_1</v>
          </cell>
          <cell r="D214" t="str">
            <v>BA</v>
          </cell>
          <cell r="E214">
            <v>13</v>
          </cell>
          <cell r="F214">
            <v>22</v>
          </cell>
          <cell r="G214">
            <v>2731.15</v>
          </cell>
          <cell r="H214">
            <v>29804.85</v>
          </cell>
          <cell r="I214">
            <v>18180.650000000001</v>
          </cell>
          <cell r="K214">
            <v>100</v>
          </cell>
          <cell r="L214">
            <v>15.43</v>
          </cell>
          <cell r="M214">
            <v>0.89</v>
          </cell>
          <cell r="N214">
            <v>12</v>
          </cell>
          <cell r="O214">
            <v>1091.29</v>
          </cell>
        </row>
        <row r="215">
          <cell r="A215" t="str">
            <v>PDV_22025/5</v>
          </cell>
          <cell r="B215">
            <v>45778</v>
          </cell>
          <cell r="C215" t="str">
            <v>PDV_2</v>
          </cell>
          <cell r="D215" t="str">
            <v>MG</v>
          </cell>
          <cell r="E215">
            <v>29</v>
          </cell>
          <cell r="F215">
            <v>22</v>
          </cell>
          <cell r="G215">
            <v>2809.25</v>
          </cell>
          <cell r="H215">
            <v>25673.26</v>
          </cell>
          <cell r="I215">
            <v>12600.89</v>
          </cell>
          <cell r="J215">
            <v>13129.42</v>
          </cell>
          <cell r="K215">
            <v>100</v>
          </cell>
          <cell r="L215">
            <v>15.43</v>
          </cell>
          <cell r="M215">
            <v>0.89</v>
          </cell>
          <cell r="N215">
            <v>12</v>
          </cell>
          <cell r="O215">
            <v>913.88</v>
          </cell>
        </row>
        <row r="216">
          <cell r="A216" t="str">
            <v>PDV_32025/5</v>
          </cell>
          <cell r="B216">
            <v>45778</v>
          </cell>
          <cell r="C216" t="str">
            <v>PDV_3</v>
          </cell>
          <cell r="D216" t="str">
            <v>PE</v>
          </cell>
          <cell r="E216">
            <v>8</v>
          </cell>
          <cell r="F216">
            <v>22</v>
          </cell>
          <cell r="G216">
            <v>2589.0700000000002</v>
          </cell>
          <cell r="H216">
            <v>28829.88</v>
          </cell>
          <cell r="I216">
            <v>23212.29</v>
          </cell>
          <cell r="J216">
            <v>5356.88</v>
          </cell>
          <cell r="K216">
            <v>100</v>
          </cell>
          <cell r="L216">
            <v>15.43</v>
          </cell>
          <cell r="M216">
            <v>0.89</v>
          </cell>
          <cell r="N216">
            <v>18</v>
          </cell>
          <cell r="O216">
            <v>1113.52</v>
          </cell>
        </row>
        <row r="217">
          <cell r="A217" t="str">
            <v>PDV_42025/5</v>
          </cell>
          <cell r="B217">
            <v>45778</v>
          </cell>
          <cell r="C217" t="str">
            <v>PDV_4</v>
          </cell>
          <cell r="D217" t="str">
            <v>SP</v>
          </cell>
          <cell r="E217">
            <v>44</v>
          </cell>
          <cell r="F217">
            <v>22</v>
          </cell>
          <cell r="G217">
            <v>2619.6799999999998</v>
          </cell>
          <cell r="H217">
            <v>24490.7</v>
          </cell>
          <cell r="I217">
            <v>14834.55</v>
          </cell>
          <cell r="J217">
            <v>9630.06</v>
          </cell>
          <cell r="K217">
            <v>100</v>
          </cell>
          <cell r="L217">
            <v>15.43</v>
          </cell>
          <cell r="M217">
            <v>0.89</v>
          </cell>
          <cell r="N217">
            <v>6</v>
          </cell>
          <cell r="O217">
            <v>934.87</v>
          </cell>
        </row>
        <row r="218">
          <cell r="A218" t="str">
            <v>PDV_52025/5</v>
          </cell>
          <cell r="B218">
            <v>45778</v>
          </cell>
          <cell r="C218" t="str">
            <v>PDV_5</v>
          </cell>
          <cell r="D218" t="str">
            <v>PE</v>
          </cell>
          <cell r="E218">
            <v>28</v>
          </cell>
          <cell r="F218">
            <v>22</v>
          </cell>
          <cell r="G218">
            <v>2891.42</v>
          </cell>
          <cell r="H218">
            <v>60044.9</v>
          </cell>
          <cell r="I218">
            <v>35559.870000000003</v>
          </cell>
          <cell r="J218">
            <v>4718.76</v>
          </cell>
          <cell r="K218">
            <v>105.83</v>
          </cell>
          <cell r="L218">
            <v>15.43</v>
          </cell>
          <cell r="M218">
            <v>0.89</v>
          </cell>
          <cell r="N218">
            <v>11</v>
          </cell>
          <cell r="O218">
            <v>2076.66</v>
          </cell>
        </row>
        <row r="219">
          <cell r="A219" t="str">
            <v>PDV_62025/5</v>
          </cell>
          <cell r="B219">
            <v>45778</v>
          </cell>
          <cell r="C219" t="str">
            <v>PDV_6</v>
          </cell>
          <cell r="D219" t="str">
            <v>RS</v>
          </cell>
          <cell r="E219">
            <v>20</v>
          </cell>
          <cell r="F219">
            <v>22</v>
          </cell>
          <cell r="G219">
            <v>2673.57</v>
          </cell>
          <cell r="H219">
            <v>33742.370000000003</v>
          </cell>
          <cell r="I219">
            <v>26664.84</v>
          </cell>
          <cell r="J219">
            <v>7059.21</v>
          </cell>
          <cell r="K219">
            <v>100</v>
          </cell>
          <cell r="L219">
            <v>15.43</v>
          </cell>
          <cell r="M219">
            <v>0.89</v>
          </cell>
          <cell r="N219">
            <v>17</v>
          </cell>
          <cell r="O219">
            <v>1262.07</v>
          </cell>
        </row>
        <row r="220">
          <cell r="A220" t="str">
            <v>PDV_72025/5</v>
          </cell>
          <cell r="B220">
            <v>45778</v>
          </cell>
          <cell r="C220" t="str">
            <v>PDV_7</v>
          </cell>
          <cell r="D220" t="str">
            <v>RJ</v>
          </cell>
          <cell r="E220">
            <v>15</v>
          </cell>
          <cell r="F220">
            <v>22</v>
          </cell>
          <cell r="G220">
            <v>2609.73</v>
          </cell>
          <cell r="H220">
            <v>17704.060000000001</v>
          </cell>
          <cell r="I220">
            <v>9166.0400000000009</v>
          </cell>
          <cell r="J220">
            <v>8659.9</v>
          </cell>
          <cell r="K220">
            <v>100</v>
          </cell>
          <cell r="L220">
            <v>15.43</v>
          </cell>
          <cell r="M220">
            <v>0.89</v>
          </cell>
          <cell r="N220">
            <v>14</v>
          </cell>
          <cell r="O220">
            <v>678.39</v>
          </cell>
        </row>
        <row r="221">
          <cell r="A221" t="str">
            <v>PDV_82025/5</v>
          </cell>
          <cell r="B221">
            <v>45778</v>
          </cell>
          <cell r="C221" t="str">
            <v>PDV_8</v>
          </cell>
          <cell r="D221" t="str">
            <v>SP</v>
          </cell>
          <cell r="E221">
            <v>35</v>
          </cell>
          <cell r="F221">
            <v>22</v>
          </cell>
          <cell r="G221">
            <v>2464.41</v>
          </cell>
          <cell r="H221">
            <v>16342.6</v>
          </cell>
          <cell r="I221">
            <v>10216.030000000001</v>
          </cell>
          <cell r="J221">
            <v>5858.52</v>
          </cell>
          <cell r="K221">
            <v>100</v>
          </cell>
          <cell r="L221">
            <v>15.43</v>
          </cell>
          <cell r="M221">
            <v>0.89</v>
          </cell>
          <cell r="N221">
            <v>20</v>
          </cell>
          <cell r="O221">
            <v>663.14</v>
          </cell>
        </row>
        <row r="222">
          <cell r="A222" t="str">
            <v>PDV_92025/5</v>
          </cell>
          <cell r="B222">
            <v>45778</v>
          </cell>
          <cell r="C222" t="str">
            <v>PDV_9</v>
          </cell>
          <cell r="D222" t="str">
            <v>DF</v>
          </cell>
          <cell r="E222">
            <v>39</v>
          </cell>
          <cell r="F222">
            <v>22</v>
          </cell>
          <cell r="G222">
            <v>2925.29</v>
          </cell>
          <cell r="H222">
            <v>24648.27</v>
          </cell>
          <cell r="I222">
            <v>15621.02</v>
          </cell>
          <cell r="J222">
            <v>8877.34</v>
          </cell>
          <cell r="K222">
            <v>100</v>
          </cell>
          <cell r="L222">
            <v>15.43</v>
          </cell>
          <cell r="M222">
            <v>0.89</v>
          </cell>
          <cell r="N222">
            <v>20</v>
          </cell>
          <cell r="O222">
            <v>842.59</v>
          </cell>
        </row>
        <row r="223">
          <cell r="A223" t="str">
            <v>PDV_102025/5</v>
          </cell>
          <cell r="B223">
            <v>45778</v>
          </cell>
          <cell r="C223" t="str">
            <v>PDV_10</v>
          </cell>
          <cell r="D223" t="str">
            <v>SP</v>
          </cell>
          <cell r="E223">
            <v>7</v>
          </cell>
          <cell r="F223">
            <v>22</v>
          </cell>
          <cell r="G223">
            <v>2765.55</v>
          </cell>
          <cell r="H223">
            <v>23381.96</v>
          </cell>
          <cell r="I223">
            <v>17132.509999999998</v>
          </cell>
          <cell r="J223">
            <v>6193.1</v>
          </cell>
          <cell r="K223">
            <v>100</v>
          </cell>
          <cell r="L223">
            <v>15.43</v>
          </cell>
          <cell r="M223">
            <v>0.89</v>
          </cell>
          <cell r="N223">
            <v>11</v>
          </cell>
          <cell r="O223">
            <v>845.47</v>
          </cell>
        </row>
        <row r="224">
          <cell r="A224" t="str">
            <v>PDV_112025/5</v>
          </cell>
          <cell r="B224">
            <v>45778</v>
          </cell>
          <cell r="C224" t="str">
            <v>PDV_11</v>
          </cell>
          <cell r="D224" t="str">
            <v>PE</v>
          </cell>
          <cell r="E224">
            <v>39</v>
          </cell>
          <cell r="F224">
            <v>22</v>
          </cell>
          <cell r="G224">
            <v>2632.22</v>
          </cell>
          <cell r="H224">
            <v>26618.560000000001</v>
          </cell>
          <cell r="I224">
            <v>21528.54</v>
          </cell>
          <cell r="J224">
            <v>5155.1000000000004</v>
          </cell>
          <cell r="K224">
            <v>100</v>
          </cell>
          <cell r="L224">
            <v>15.43</v>
          </cell>
          <cell r="M224">
            <v>0.89</v>
          </cell>
          <cell r="N224">
            <v>4</v>
          </cell>
          <cell r="O224">
            <v>1011.26</v>
          </cell>
        </row>
        <row r="225">
          <cell r="A225" t="str">
            <v>PDV_122025/5</v>
          </cell>
          <cell r="B225">
            <v>45778</v>
          </cell>
          <cell r="C225" t="str">
            <v>PDV_12</v>
          </cell>
          <cell r="D225" t="str">
            <v>BA</v>
          </cell>
          <cell r="E225">
            <v>19</v>
          </cell>
          <cell r="F225">
            <v>22</v>
          </cell>
          <cell r="G225">
            <v>3074.14</v>
          </cell>
          <cell r="H225">
            <v>33477.379999999997</v>
          </cell>
          <cell r="I225">
            <v>21353.33</v>
          </cell>
          <cell r="J225">
            <v>12020.46</v>
          </cell>
          <cell r="K225">
            <v>100</v>
          </cell>
          <cell r="L225">
            <v>15.43</v>
          </cell>
          <cell r="M225">
            <v>0.89</v>
          </cell>
          <cell r="N225">
            <v>12</v>
          </cell>
          <cell r="O225">
            <v>1089</v>
          </cell>
        </row>
        <row r="226">
          <cell r="A226" t="str">
            <v>PDV_132025/5</v>
          </cell>
          <cell r="B226">
            <v>45778</v>
          </cell>
          <cell r="C226" t="str">
            <v>PDV_13</v>
          </cell>
          <cell r="D226" t="str">
            <v>RJ</v>
          </cell>
          <cell r="E226">
            <v>39</v>
          </cell>
          <cell r="F226">
            <v>22</v>
          </cell>
          <cell r="G226">
            <v>2459.42</v>
          </cell>
          <cell r="H226">
            <v>21424.01</v>
          </cell>
          <cell r="I226">
            <v>13477.66</v>
          </cell>
          <cell r="J226">
            <v>7963.22</v>
          </cell>
          <cell r="K226">
            <v>100</v>
          </cell>
          <cell r="L226">
            <v>15.43</v>
          </cell>
          <cell r="M226">
            <v>0.89</v>
          </cell>
          <cell r="N226">
            <v>2</v>
          </cell>
          <cell r="O226">
            <v>871.1</v>
          </cell>
        </row>
        <row r="227">
          <cell r="A227" t="str">
            <v>PDV_142025/5</v>
          </cell>
          <cell r="B227">
            <v>45778</v>
          </cell>
          <cell r="C227" t="str">
            <v>PDV_14</v>
          </cell>
          <cell r="D227" t="str">
            <v>MG</v>
          </cell>
          <cell r="E227">
            <v>29</v>
          </cell>
          <cell r="F227">
            <v>22</v>
          </cell>
          <cell r="G227">
            <v>2446.27</v>
          </cell>
          <cell r="H227">
            <v>13280.17</v>
          </cell>
          <cell r="I227">
            <v>11038.01</v>
          </cell>
          <cell r="J227">
            <v>2278.44</v>
          </cell>
          <cell r="K227">
            <v>100</v>
          </cell>
          <cell r="L227">
            <v>15.43</v>
          </cell>
          <cell r="M227">
            <v>0.89</v>
          </cell>
          <cell r="N227">
            <v>2</v>
          </cell>
          <cell r="O227">
            <v>542.87</v>
          </cell>
        </row>
        <row r="228">
          <cell r="A228" t="str">
            <v>PDV_152025/5</v>
          </cell>
          <cell r="B228">
            <v>45778</v>
          </cell>
          <cell r="C228" t="str">
            <v>PDV_15</v>
          </cell>
          <cell r="D228" t="str">
            <v>PR</v>
          </cell>
          <cell r="E228">
            <v>20</v>
          </cell>
          <cell r="F228">
            <v>22</v>
          </cell>
          <cell r="G228">
            <v>2630.33</v>
          </cell>
          <cell r="H228">
            <v>24000.720000000001</v>
          </cell>
          <cell r="I228">
            <v>11855.01</v>
          </cell>
          <cell r="J228">
            <v>12099.93</v>
          </cell>
          <cell r="K228">
            <v>100</v>
          </cell>
          <cell r="L228">
            <v>15.43</v>
          </cell>
          <cell r="M228">
            <v>0.89</v>
          </cell>
          <cell r="N228">
            <v>7</v>
          </cell>
          <cell r="O228">
            <v>912.46</v>
          </cell>
        </row>
        <row r="229">
          <cell r="A229" t="str">
            <v>PDV_162025/5</v>
          </cell>
          <cell r="B229">
            <v>45778</v>
          </cell>
          <cell r="C229" t="str">
            <v>PDV_16</v>
          </cell>
          <cell r="D229" t="str">
            <v>RJ</v>
          </cell>
          <cell r="E229">
            <v>41</v>
          </cell>
          <cell r="F229">
            <v>22</v>
          </cell>
          <cell r="G229">
            <v>2870.8</v>
          </cell>
          <cell r="H229">
            <v>16740.2</v>
          </cell>
          <cell r="I229">
            <v>8836.14</v>
          </cell>
          <cell r="J229">
            <v>8060.1</v>
          </cell>
          <cell r="K229">
            <v>100</v>
          </cell>
          <cell r="L229">
            <v>15.43</v>
          </cell>
          <cell r="M229">
            <v>0.89</v>
          </cell>
          <cell r="N229">
            <v>1</v>
          </cell>
          <cell r="O229">
            <v>583.12</v>
          </cell>
        </row>
        <row r="230">
          <cell r="A230" t="str">
            <v>PDV_172025/5</v>
          </cell>
          <cell r="B230">
            <v>45778</v>
          </cell>
          <cell r="C230" t="str">
            <v>PDV_17</v>
          </cell>
          <cell r="D230" t="str">
            <v>DF</v>
          </cell>
          <cell r="E230">
            <v>48</v>
          </cell>
          <cell r="F230">
            <v>22</v>
          </cell>
          <cell r="H230">
            <v>16149.52</v>
          </cell>
          <cell r="I230">
            <v>10772.7</v>
          </cell>
          <cell r="J230">
            <v>5328.68</v>
          </cell>
          <cell r="K230">
            <v>100</v>
          </cell>
          <cell r="L230">
            <v>15.43</v>
          </cell>
          <cell r="M230">
            <v>0.89</v>
          </cell>
          <cell r="N230">
            <v>17</v>
          </cell>
        </row>
        <row r="231">
          <cell r="A231" t="str">
            <v>PDV_182025/5</v>
          </cell>
          <cell r="B231">
            <v>45778</v>
          </cell>
          <cell r="C231" t="str">
            <v>PDV_18</v>
          </cell>
          <cell r="D231" t="str">
            <v>MG</v>
          </cell>
          <cell r="E231">
            <v>21</v>
          </cell>
          <cell r="F231">
            <v>22</v>
          </cell>
          <cell r="G231">
            <v>2612.9699999999998</v>
          </cell>
          <cell r="H231">
            <v>16545.400000000001</v>
          </cell>
          <cell r="I231">
            <v>14129.81</v>
          </cell>
          <cell r="J231">
            <v>2573.14</v>
          </cell>
          <cell r="K231">
            <v>100</v>
          </cell>
          <cell r="L231">
            <v>15.43</v>
          </cell>
          <cell r="M231">
            <v>0.89</v>
          </cell>
          <cell r="N231">
            <v>12</v>
          </cell>
          <cell r="O231">
            <v>633.20000000000005</v>
          </cell>
        </row>
        <row r="232">
          <cell r="A232" t="str">
            <v>PDV_192025/5</v>
          </cell>
          <cell r="B232">
            <v>45778</v>
          </cell>
          <cell r="C232" t="str">
            <v>PDV_19</v>
          </cell>
          <cell r="D232" t="str">
            <v>SP</v>
          </cell>
          <cell r="E232">
            <v>14</v>
          </cell>
          <cell r="F232">
            <v>22</v>
          </cell>
          <cell r="G232">
            <v>2593.88</v>
          </cell>
          <cell r="H232">
            <v>21994.15</v>
          </cell>
          <cell r="I232">
            <v>12105.25</v>
          </cell>
          <cell r="J232">
            <v>9825.76</v>
          </cell>
          <cell r="K232">
            <v>100</v>
          </cell>
          <cell r="L232">
            <v>15.43</v>
          </cell>
          <cell r="M232">
            <v>0.89</v>
          </cell>
          <cell r="N232">
            <v>18</v>
          </cell>
          <cell r="O232">
            <v>847.93</v>
          </cell>
        </row>
        <row r="233">
          <cell r="A233" t="str">
            <v>PDV_202025/5</v>
          </cell>
          <cell r="B233">
            <v>45778</v>
          </cell>
          <cell r="C233" t="str">
            <v>PDV_20</v>
          </cell>
          <cell r="D233" t="str">
            <v>PE</v>
          </cell>
          <cell r="E233">
            <v>34</v>
          </cell>
          <cell r="F233">
            <v>22</v>
          </cell>
          <cell r="G233">
            <v>2702.66</v>
          </cell>
          <cell r="H233">
            <v>26997.200000000001</v>
          </cell>
          <cell r="I233">
            <v>18762.560000000001</v>
          </cell>
          <cell r="J233">
            <v>8443.75</v>
          </cell>
          <cell r="K233">
            <v>100</v>
          </cell>
          <cell r="L233">
            <v>15.43</v>
          </cell>
          <cell r="M233">
            <v>0.89</v>
          </cell>
          <cell r="N233">
            <v>11</v>
          </cell>
          <cell r="O233">
            <v>998.91</v>
          </cell>
        </row>
        <row r="234">
          <cell r="A234" t="str">
            <v>PDV_212025/5</v>
          </cell>
          <cell r="B234">
            <v>45778</v>
          </cell>
          <cell r="C234" t="str">
            <v>PDV_21</v>
          </cell>
          <cell r="D234" t="str">
            <v>SP</v>
          </cell>
          <cell r="E234">
            <v>27</v>
          </cell>
          <cell r="F234">
            <v>22</v>
          </cell>
          <cell r="G234">
            <v>2559.52</v>
          </cell>
          <cell r="H234">
            <v>9374.99</v>
          </cell>
          <cell r="I234">
            <v>7339.48</v>
          </cell>
          <cell r="J234">
            <v>8493.09</v>
          </cell>
          <cell r="K234">
            <v>80.66</v>
          </cell>
          <cell r="L234">
            <v>15.43</v>
          </cell>
          <cell r="M234">
            <v>0.89</v>
          </cell>
          <cell r="N234">
            <v>13</v>
          </cell>
          <cell r="O234">
            <v>366.28</v>
          </cell>
        </row>
        <row r="235">
          <cell r="A235" t="str">
            <v>PDV_222025/5</v>
          </cell>
          <cell r="B235">
            <v>45778</v>
          </cell>
          <cell r="C235" t="str">
            <v>PDV_22</v>
          </cell>
          <cell r="D235" t="str">
            <v>RS</v>
          </cell>
          <cell r="E235">
            <v>7</v>
          </cell>
          <cell r="F235">
            <v>22</v>
          </cell>
          <cell r="G235">
            <v>2648.14</v>
          </cell>
          <cell r="H235">
            <v>25862.77</v>
          </cell>
          <cell r="I235">
            <v>13622.36</v>
          </cell>
          <cell r="J235">
            <v>12397.43</v>
          </cell>
          <cell r="K235">
            <v>100</v>
          </cell>
          <cell r="L235">
            <v>15.43</v>
          </cell>
          <cell r="M235">
            <v>0.89</v>
          </cell>
          <cell r="N235">
            <v>12</v>
          </cell>
          <cell r="O235">
            <v>976.64</v>
          </cell>
        </row>
        <row r="236">
          <cell r="A236" t="str">
            <v>PDV_232025/5</v>
          </cell>
          <cell r="B236">
            <v>45778</v>
          </cell>
          <cell r="C236" t="str">
            <v>PDV_23</v>
          </cell>
          <cell r="D236" t="str">
            <v>RJ</v>
          </cell>
          <cell r="E236">
            <v>32</v>
          </cell>
          <cell r="F236">
            <v>22</v>
          </cell>
          <cell r="G236">
            <v>2843.2</v>
          </cell>
          <cell r="H236">
            <v>20136.63</v>
          </cell>
          <cell r="I236">
            <v>16650.169999999998</v>
          </cell>
          <cell r="J236">
            <v>3388.57</v>
          </cell>
          <cell r="K236">
            <v>100</v>
          </cell>
          <cell r="L236">
            <v>15.43</v>
          </cell>
          <cell r="M236">
            <v>0.89</v>
          </cell>
          <cell r="N236">
            <v>13</v>
          </cell>
          <cell r="O236">
            <v>708.24</v>
          </cell>
        </row>
        <row r="237">
          <cell r="A237" t="str">
            <v>PDV_242025/5</v>
          </cell>
          <cell r="B237">
            <v>45778</v>
          </cell>
          <cell r="C237" t="str">
            <v>PDV_24</v>
          </cell>
          <cell r="D237" t="str">
            <v>PE</v>
          </cell>
          <cell r="E237">
            <v>49</v>
          </cell>
          <cell r="F237">
            <v>22</v>
          </cell>
          <cell r="G237">
            <v>3039.34</v>
          </cell>
          <cell r="H237">
            <v>28691.02</v>
          </cell>
          <cell r="I237">
            <v>16188.66</v>
          </cell>
          <cell r="J237">
            <v>12387.54</v>
          </cell>
          <cell r="K237">
            <v>100</v>
          </cell>
          <cell r="L237">
            <v>15.43</v>
          </cell>
          <cell r="M237">
            <v>0.89</v>
          </cell>
          <cell r="N237">
            <v>1</v>
          </cell>
          <cell r="O237">
            <v>943.99</v>
          </cell>
        </row>
        <row r="238">
          <cell r="A238" t="str">
            <v>PDV_252025/5</v>
          </cell>
          <cell r="B238">
            <v>45778</v>
          </cell>
          <cell r="C238" t="str">
            <v>PDV_25</v>
          </cell>
          <cell r="D238" t="str">
            <v>PE</v>
          </cell>
          <cell r="E238">
            <v>9</v>
          </cell>
          <cell r="F238">
            <v>22</v>
          </cell>
          <cell r="G238">
            <v>2737.62</v>
          </cell>
          <cell r="H238">
            <v>24601.47</v>
          </cell>
          <cell r="I238">
            <v>14217.17</v>
          </cell>
          <cell r="J238">
            <v>10144.68</v>
          </cell>
          <cell r="K238">
            <v>100</v>
          </cell>
          <cell r="L238">
            <v>15.43</v>
          </cell>
          <cell r="M238">
            <v>0.89</v>
          </cell>
          <cell r="N238">
            <v>12</v>
          </cell>
          <cell r="O238">
            <v>898.64</v>
          </cell>
        </row>
        <row r="239">
          <cell r="A239" t="str">
            <v>PDV_262025/5</v>
          </cell>
          <cell r="B239">
            <v>45778</v>
          </cell>
          <cell r="C239" t="str">
            <v>PDV_26</v>
          </cell>
          <cell r="D239" t="str">
            <v>SP</v>
          </cell>
          <cell r="E239">
            <v>36</v>
          </cell>
          <cell r="F239">
            <v>22</v>
          </cell>
          <cell r="G239">
            <v>2990.95</v>
          </cell>
          <cell r="H239">
            <v>19219.89</v>
          </cell>
          <cell r="I239">
            <v>14213.93</v>
          </cell>
          <cell r="J239">
            <v>5142.16</v>
          </cell>
          <cell r="K239">
            <v>100</v>
          </cell>
          <cell r="L239">
            <v>15.43</v>
          </cell>
          <cell r="M239">
            <v>0.89</v>
          </cell>
          <cell r="N239">
            <v>16</v>
          </cell>
          <cell r="O239">
            <v>642.6</v>
          </cell>
        </row>
        <row r="240">
          <cell r="A240" t="str">
            <v>PDV_272025/5</v>
          </cell>
          <cell r="B240">
            <v>45778</v>
          </cell>
          <cell r="C240" t="str">
            <v>PDV_27</v>
          </cell>
          <cell r="D240" t="str">
            <v>RS</v>
          </cell>
          <cell r="E240">
            <v>6</v>
          </cell>
          <cell r="F240">
            <v>22</v>
          </cell>
          <cell r="G240">
            <v>2778.59</v>
          </cell>
          <cell r="H240">
            <v>32536.98</v>
          </cell>
          <cell r="I240">
            <v>22191.15</v>
          </cell>
          <cell r="J240">
            <v>10281.34</v>
          </cell>
          <cell r="K240">
            <v>100</v>
          </cell>
          <cell r="L240">
            <v>15.43</v>
          </cell>
          <cell r="M240">
            <v>0.89</v>
          </cell>
          <cell r="N240">
            <v>5</v>
          </cell>
          <cell r="O240">
            <v>1170.99</v>
          </cell>
        </row>
        <row r="241">
          <cell r="A241" t="str">
            <v>PDV_282025/5</v>
          </cell>
          <cell r="B241">
            <v>45778</v>
          </cell>
          <cell r="C241" t="str">
            <v>PDV_28</v>
          </cell>
          <cell r="D241" t="str">
            <v>SP</v>
          </cell>
          <cell r="E241">
            <v>18</v>
          </cell>
          <cell r="F241">
            <v>22</v>
          </cell>
          <cell r="G241">
            <v>2813.76</v>
          </cell>
          <cell r="H241">
            <v>18848.48</v>
          </cell>
          <cell r="I241">
            <v>14575.53</v>
          </cell>
          <cell r="J241">
            <v>4365.7299999999996</v>
          </cell>
          <cell r="K241">
            <v>100</v>
          </cell>
          <cell r="L241">
            <v>15.43</v>
          </cell>
          <cell r="M241">
            <v>0.89</v>
          </cell>
          <cell r="N241">
            <v>6</v>
          </cell>
          <cell r="O241">
            <v>669.87</v>
          </cell>
        </row>
        <row r="242">
          <cell r="A242" t="str">
            <v>PDV_292025/5</v>
          </cell>
          <cell r="B242">
            <v>45778</v>
          </cell>
          <cell r="C242" t="str">
            <v>PDV_29</v>
          </cell>
          <cell r="D242" t="str">
            <v>MG</v>
          </cell>
          <cell r="E242">
            <v>24</v>
          </cell>
          <cell r="F242">
            <v>22</v>
          </cell>
          <cell r="G242">
            <v>2664.6</v>
          </cell>
          <cell r="H242">
            <v>14240.3</v>
          </cell>
          <cell r="I242">
            <v>7069.62</v>
          </cell>
          <cell r="K242">
            <v>100</v>
          </cell>
          <cell r="L242">
            <v>15.43</v>
          </cell>
          <cell r="M242">
            <v>0.89</v>
          </cell>
          <cell r="N242">
            <v>12</v>
          </cell>
          <cell r="O242">
            <v>534.42999999999995</v>
          </cell>
        </row>
        <row r="243">
          <cell r="A243" t="str">
            <v>PDV_302025/5</v>
          </cell>
          <cell r="B243">
            <v>45778</v>
          </cell>
          <cell r="C243" t="str">
            <v>PDV_30</v>
          </cell>
          <cell r="D243" t="str">
            <v>SP</v>
          </cell>
          <cell r="E243">
            <v>41</v>
          </cell>
          <cell r="F243">
            <v>22</v>
          </cell>
          <cell r="G243">
            <v>2634.78</v>
          </cell>
          <cell r="H243">
            <v>23556.63</v>
          </cell>
          <cell r="I243">
            <v>19209.75</v>
          </cell>
          <cell r="J243">
            <v>4259.09</v>
          </cell>
          <cell r="K243">
            <v>100</v>
          </cell>
          <cell r="L243">
            <v>15.43</v>
          </cell>
          <cell r="M243">
            <v>0.89</v>
          </cell>
          <cell r="N243">
            <v>14</v>
          </cell>
          <cell r="O243">
            <v>894.06</v>
          </cell>
        </row>
        <row r="244">
          <cell r="A244" t="str">
            <v>PDV_312025/5</v>
          </cell>
          <cell r="B244">
            <v>45778</v>
          </cell>
          <cell r="C244" t="str">
            <v>PDV_31</v>
          </cell>
          <cell r="D244" t="str">
            <v>SP</v>
          </cell>
          <cell r="E244">
            <v>9</v>
          </cell>
          <cell r="F244">
            <v>22</v>
          </cell>
          <cell r="G244">
            <v>2752.05</v>
          </cell>
          <cell r="H244">
            <v>32974.94</v>
          </cell>
          <cell r="I244">
            <v>18719.89</v>
          </cell>
          <cell r="J244">
            <v>14119.62</v>
          </cell>
          <cell r="K244">
            <v>100</v>
          </cell>
          <cell r="L244">
            <v>15.43</v>
          </cell>
          <cell r="M244">
            <v>0.89</v>
          </cell>
          <cell r="N244">
            <v>19</v>
          </cell>
          <cell r="O244">
            <v>1198.2</v>
          </cell>
        </row>
        <row r="245">
          <cell r="A245" t="str">
            <v>PDV_322025/5</v>
          </cell>
          <cell r="B245">
            <v>45778</v>
          </cell>
          <cell r="C245" t="str">
            <v>PDV_32</v>
          </cell>
          <cell r="D245" t="str">
            <v>SP</v>
          </cell>
          <cell r="E245">
            <v>32</v>
          </cell>
          <cell r="F245">
            <v>22</v>
          </cell>
          <cell r="G245">
            <v>2742.54</v>
          </cell>
          <cell r="H245">
            <v>14837.02</v>
          </cell>
          <cell r="I245">
            <v>10656.44</v>
          </cell>
          <cell r="J245">
            <v>4090.86</v>
          </cell>
          <cell r="K245">
            <v>100</v>
          </cell>
          <cell r="L245">
            <v>15.43</v>
          </cell>
          <cell r="M245">
            <v>0.89</v>
          </cell>
          <cell r="N245">
            <v>11</v>
          </cell>
          <cell r="O245">
            <v>540.99</v>
          </cell>
        </row>
        <row r="246">
          <cell r="A246" t="str">
            <v>PDV_332025/5</v>
          </cell>
          <cell r="B246">
            <v>45778</v>
          </cell>
          <cell r="C246" t="str">
            <v>PDV_33</v>
          </cell>
          <cell r="D246" t="str">
            <v>MG</v>
          </cell>
          <cell r="E246">
            <v>8</v>
          </cell>
          <cell r="F246">
            <v>22</v>
          </cell>
          <cell r="G246">
            <v>3107.65</v>
          </cell>
          <cell r="H246">
            <v>32064.79</v>
          </cell>
          <cell r="I246">
            <v>15342.31</v>
          </cell>
          <cell r="J246">
            <v>16794.71</v>
          </cell>
          <cell r="K246">
            <v>100</v>
          </cell>
          <cell r="L246">
            <v>15.43</v>
          </cell>
          <cell r="M246">
            <v>0.89</v>
          </cell>
          <cell r="N246">
            <v>4</v>
          </cell>
          <cell r="O246">
            <v>1031.8</v>
          </cell>
        </row>
        <row r="247">
          <cell r="A247" t="str">
            <v>PDV_342025/5</v>
          </cell>
          <cell r="B247">
            <v>45778</v>
          </cell>
          <cell r="C247" t="str">
            <v>PDV_34</v>
          </cell>
          <cell r="D247" t="str">
            <v>SP</v>
          </cell>
          <cell r="E247">
            <v>12</v>
          </cell>
          <cell r="F247">
            <v>22</v>
          </cell>
          <cell r="G247">
            <v>2885.29</v>
          </cell>
          <cell r="H247">
            <v>17203.98</v>
          </cell>
          <cell r="I247">
            <v>8656.89</v>
          </cell>
          <cell r="J247">
            <v>8619.66</v>
          </cell>
          <cell r="K247">
            <v>100</v>
          </cell>
          <cell r="L247">
            <v>15.43</v>
          </cell>
          <cell r="M247">
            <v>0.89</v>
          </cell>
          <cell r="N247">
            <v>12</v>
          </cell>
          <cell r="O247">
            <v>596.26</v>
          </cell>
        </row>
        <row r="248">
          <cell r="A248" t="str">
            <v>PDV_352025/5</v>
          </cell>
          <cell r="B248">
            <v>45778</v>
          </cell>
          <cell r="C248" t="str">
            <v>PDV_35</v>
          </cell>
          <cell r="D248" t="str">
            <v>SP</v>
          </cell>
          <cell r="E248">
            <v>6</v>
          </cell>
          <cell r="F248">
            <v>22</v>
          </cell>
          <cell r="G248">
            <v>2701.13</v>
          </cell>
          <cell r="H248">
            <v>15114.89</v>
          </cell>
          <cell r="I248">
            <v>10847.63</v>
          </cell>
          <cell r="J248">
            <v>4399.74</v>
          </cell>
          <cell r="K248">
            <v>100</v>
          </cell>
          <cell r="L248">
            <v>15.43</v>
          </cell>
          <cell r="M248">
            <v>0.89</v>
          </cell>
          <cell r="N248">
            <v>16</v>
          </cell>
          <cell r="O248">
            <v>559.58000000000004</v>
          </cell>
        </row>
        <row r="249">
          <cell r="A249" t="str">
            <v>PDV_362025/5</v>
          </cell>
          <cell r="B249">
            <v>45778</v>
          </cell>
          <cell r="C249" t="str">
            <v>PDV_36</v>
          </cell>
          <cell r="D249" t="str">
            <v>SP</v>
          </cell>
          <cell r="E249">
            <v>19</v>
          </cell>
          <cell r="F249">
            <v>22</v>
          </cell>
          <cell r="G249">
            <v>2900.33</v>
          </cell>
          <cell r="H249">
            <v>22115.07</v>
          </cell>
          <cell r="I249">
            <v>10447.32</v>
          </cell>
          <cell r="J249">
            <v>11543.94</v>
          </cell>
          <cell r="K249">
            <v>100</v>
          </cell>
          <cell r="L249">
            <v>15.43</v>
          </cell>
          <cell r="M249">
            <v>0.89</v>
          </cell>
          <cell r="N249">
            <v>1</v>
          </cell>
          <cell r="O249">
            <v>762.5</v>
          </cell>
        </row>
        <row r="250">
          <cell r="A250" t="str">
            <v>PDV_372025/5</v>
          </cell>
          <cell r="B250">
            <v>45778</v>
          </cell>
          <cell r="C250" t="str">
            <v>PDV_37</v>
          </cell>
          <cell r="D250" t="str">
            <v>PR</v>
          </cell>
          <cell r="E250">
            <v>12</v>
          </cell>
          <cell r="F250">
            <v>22</v>
          </cell>
          <cell r="G250">
            <v>2964.87</v>
          </cell>
          <cell r="H250">
            <v>21912.53</v>
          </cell>
          <cell r="I250">
            <v>15143.55</v>
          </cell>
          <cell r="J250">
            <v>6621.39</v>
          </cell>
          <cell r="K250">
            <v>100</v>
          </cell>
          <cell r="L250">
            <v>15.43</v>
          </cell>
          <cell r="M250">
            <v>0.89</v>
          </cell>
          <cell r="N250">
            <v>14</v>
          </cell>
          <cell r="O250">
            <v>739.07</v>
          </cell>
        </row>
        <row r="251">
          <cell r="A251" t="str">
            <v>PDV_382025/5</v>
          </cell>
          <cell r="B251">
            <v>45778</v>
          </cell>
          <cell r="C251" t="str">
            <v>PDV_38</v>
          </cell>
          <cell r="D251" t="str">
            <v>RS</v>
          </cell>
          <cell r="E251">
            <v>21</v>
          </cell>
          <cell r="F251">
            <v>22</v>
          </cell>
          <cell r="G251">
            <v>2535.92</v>
          </cell>
          <cell r="H251">
            <v>16871.03</v>
          </cell>
          <cell r="I251">
            <v>14480.62</v>
          </cell>
          <cell r="J251">
            <v>2393.9299999999998</v>
          </cell>
          <cell r="K251">
            <v>100</v>
          </cell>
          <cell r="L251">
            <v>15.43</v>
          </cell>
          <cell r="M251">
            <v>0.89</v>
          </cell>
          <cell r="N251">
            <v>9</v>
          </cell>
          <cell r="O251">
            <v>665.28</v>
          </cell>
        </row>
        <row r="252">
          <cell r="A252" t="str">
            <v>PDV_392025/5</v>
          </cell>
          <cell r="B252">
            <v>45778</v>
          </cell>
          <cell r="C252" t="str">
            <v>PDV_39</v>
          </cell>
          <cell r="D252" t="str">
            <v>SP</v>
          </cell>
          <cell r="E252">
            <v>7</v>
          </cell>
          <cell r="F252">
            <v>22</v>
          </cell>
          <cell r="G252">
            <v>2590.12</v>
          </cell>
          <cell r="H252">
            <v>28870.240000000002</v>
          </cell>
          <cell r="I252">
            <v>19972.68</v>
          </cell>
          <cell r="J252">
            <v>8736.89</v>
          </cell>
          <cell r="L252">
            <v>15.43</v>
          </cell>
          <cell r="M252">
            <v>0.89</v>
          </cell>
          <cell r="N252">
            <v>16</v>
          </cell>
          <cell r="O252">
            <v>1114.6300000000001</v>
          </cell>
        </row>
        <row r="253">
          <cell r="A253" t="str">
            <v>PDV_402025/5</v>
          </cell>
          <cell r="B253">
            <v>45778</v>
          </cell>
          <cell r="C253" t="str">
            <v>PDV_40</v>
          </cell>
          <cell r="D253" t="str">
            <v>PR</v>
          </cell>
          <cell r="E253">
            <v>46</v>
          </cell>
          <cell r="F253">
            <v>22</v>
          </cell>
          <cell r="G253">
            <v>2631.55</v>
          </cell>
          <cell r="H253">
            <v>18228.32</v>
          </cell>
          <cell r="I253">
            <v>9521.6200000000008</v>
          </cell>
          <cell r="J253">
            <v>8582.61</v>
          </cell>
          <cell r="K253">
            <v>100</v>
          </cell>
          <cell r="L253">
            <v>15.43</v>
          </cell>
          <cell r="M253">
            <v>0.89</v>
          </cell>
          <cell r="N253">
            <v>6</v>
          </cell>
          <cell r="O253">
            <v>692.68</v>
          </cell>
        </row>
        <row r="254">
          <cell r="A254" t="str">
            <v>PDV_412025/5</v>
          </cell>
          <cell r="B254">
            <v>45778</v>
          </cell>
          <cell r="C254" t="str">
            <v>PDV_41</v>
          </cell>
          <cell r="D254" t="str">
            <v>MG</v>
          </cell>
          <cell r="E254">
            <v>35</v>
          </cell>
          <cell r="F254">
            <v>22</v>
          </cell>
          <cell r="G254">
            <v>2832.82</v>
          </cell>
          <cell r="H254">
            <v>23888.36</v>
          </cell>
          <cell r="I254">
            <v>16382.8</v>
          </cell>
          <cell r="J254">
            <v>7389.83</v>
          </cell>
          <cell r="L254">
            <v>15.43</v>
          </cell>
          <cell r="M254">
            <v>0.89</v>
          </cell>
          <cell r="N254">
            <v>7</v>
          </cell>
          <cell r="O254">
            <v>843.27</v>
          </cell>
        </row>
        <row r="255">
          <cell r="A255" t="str">
            <v>PDV_422025/5</v>
          </cell>
          <cell r="B255">
            <v>45778</v>
          </cell>
          <cell r="C255" t="str">
            <v>PDV_42</v>
          </cell>
          <cell r="D255" t="str">
            <v>SP</v>
          </cell>
          <cell r="E255">
            <v>24</v>
          </cell>
          <cell r="F255">
            <v>22</v>
          </cell>
          <cell r="G255">
            <v>2717.57</v>
          </cell>
          <cell r="H255">
            <v>15862.18</v>
          </cell>
          <cell r="I255">
            <v>13008.66</v>
          </cell>
          <cell r="J255">
            <v>2880.22</v>
          </cell>
          <cell r="K255">
            <v>100</v>
          </cell>
          <cell r="L255">
            <v>15.43</v>
          </cell>
          <cell r="M255">
            <v>0.89</v>
          </cell>
          <cell r="N255">
            <v>19</v>
          </cell>
          <cell r="O255">
            <v>583.69000000000005</v>
          </cell>
        </row>
        <row r="256">
          <cell r="A256" t="str">
            <v>PDV_432025/5</v>
          </cell>
          <cell r="B256">
            <v>45778</v>
          </cell>
          <cell r="C256" t="str">
            <v>PDV_43</v>
          </cell>
          <cell r="D256" t="str">
            <v>MG</v>
          </cell>
          <cell r="E256">
            <v>39</v>
          </cell>
          <cell r="F256">
            <v>22</v>
          </cell>
          <cell r="G256">
            <v>3080.31</v>
          </cell>
          <cell r="H256">
            <v>28588.880000000001</v>
          </cell>
          <cell r="I256">
            <v>22724.37</v>
          </cell>
          <cell r="J256">
            <v>5581.24</v>
          </cell>
          <cell r="K256">
            <v>100</v>
          </cell>
          <cell r="L256">
            <v>15.43</v>
          </cell>
          <cell r="M256">
            <v>0.89</v>
          </cell>
          <cell r="N256">
            <v>17</v>
          </cell>
          <cell r="O256">
            <v>928.12</v>
          </cell>
        </row>
        <row r="257">
          <cell r="A257" t="str">
            <v>PDV_442025/5</v>
          </cell>
          <cell r="B257">
            <v>45778</v>
          </cell>
          <cell r="C257" t="str">
            <v>PDV_44</v>
          </cell>
          <cell r="D257" t="str">
            <v>RS</v>
          </cell>
          <cell r="E257">
            <v>32</v>
          </cell>
          <cell r="F257">
            <v>22</v>
          </cell>
          <cell r="G257">
            <v>2761.92</v>
          </cell>
          <cell r="H257">
            <v>24787.89</v>
          </cell>
          <cell r="I257">
            <v>20168.810000000001</v>
          </cell>
          <cell r="J257">
            <v>4660.8599999999997</v>
          </cell>
          <cell r="K257">
            <v>100</v>
          </cell>
          <cell r="L257">
            <v>15.43</v>
          </cell>
          <cell r="M257">
            <v>0.89</v>
          </cell>
          <cell r="N257">
            <v>13</v>
          </cell>
          <cell r="O257">
            <v>897.49</v>
          </cell>
        </row>
        <row r="258">
          <cell r="A258" t="str">
            <v>PDV_452025/5</v>
          </cell>
          <cell r="B258">
            <v>45778</v>
          </cell>
          <cell r="C258" t="str">
            <v>PDV_45</v>
          </cell>
          <cell r="D258" t="str">
            <v>PE</v>
          </cell>
          <cell r="E258">
            <v>35</v>
          </cell>
          <cell r="F258">
            <v>22</v>
          </cell>
          <cell r="G258">
            <v>2678.66</v>
          </cell>
          <cell r="H258">
            <v>23671.45</v>
          </cell>
          <cell r="I258">
            <v>13216.61</v>
          </cell>
          <cell r="J258">
            <v>10326.52</v>
          </cell>
          <cell r="K258">
            <v>100</v>
          </cell>
          <cell r="L258">
            <v>15.43</v>
          </cell>
          <cell r="M258">
            <v>0.89</v>
          </cell>
          <cell r="N258">
            <v>12</v>
          </cell>
          <cell r="O258">
            <v>883.71</v>
          </cell>
        </row>
        <row r="259">
          <cell r="A259" t="str">
            <v>PDV_462025/5</v>
          </cell>
          <cell r="B259">
            <v>45778</v>
          </cell>
          <cell r="C259" t="str">
            <v>PDV_46</v>
          </cell>
          <cell r="D259" t="str">
            <v>PE</v>
          </cell>
          <cell r="E259">
            <v>44</v>
          </cell>
          <cell r="F259">
            <v>22</v>
          </cell>
          <cell r="G259">
            <v>2542.65</v>
          </cell>
          <cell r="H259">
            <v>28323.75</v>
          </cell>
          <cell r="I259">
            <v>17999.04</v>
          </cell>
          <cell r="J259">
            <v>10425.41</v>
          </cell>
          <cell r="K259">
            <v>100</v>
          </cell>
          <cell r="L259">
            <v>15.43</v>
          </cell>
          <cell r="M259">
            <v>0.89</v>
          </cell>
          <cell r="N259">
            <v>17</v>
          </cell>
          <cell r="O259">
            <v>1113.95</v>
          </cell>
        </row>
        <row r="260">
          <cell r="A260" t="str">
            <v>PDV_472025/5</v>
          </cell>
          <cell r="B260">
            <v>45778</v>
          </cell>
          <cell r="C260" t="str">
            <v>PDV_47</v>
          </cell>
          <cell r="D260" t="str">
            <v>RJ</v>
          </cell>
          <cell r="E260">
            <v>50</v>
          </cell>
          <cell r="F260">
            <v>22</v>
          </cell>
          <cell r="G260">
            <v>2682.48</v>
          </cell>
          <cell r="H260">
            <v>22184.86</v>
          </cell>
          <cell r="I260">
            <v>13448.35</v>
          </cell>
          <cell r="J260">
            <v>8664.01</v>
          </cell>
          <cell r="K260">
            <v>100</v>
          </cell>
          <cell r="L260">
            <v>15.43</v>
          </cell>
          <cell r="M260">
            <v>0.89</v>
          </cell>
          <cell r="N260">
            <v>13</v>
          </cell>
          <cell r="O260">
            <v>827.03</v>
          </cell>
        </row>
        <row r="261">
          <cell r="A261" t="str">
            <v>PDV_482025/5</v>
          </cell>
          <cell r="B261">
            <v>45778</v>
          </cell>
          <cell r="C261" t="str">
            <v>PDV_48</v>
          </cell>
          <cell r="D261" t="str">
            <v>DF</v>
          </cell>
          <cell r="E261">
            <v>43</v>
          </cell>
          <cell r="F261">
            <v>22</v>
          </cell>
          <cell r="G261">
            <v>2639.68</v>
          </cell>
          <cell r="H261">
            <v>23192.880000000001</v>
          </cell>
          <cell r="I261">
            <v>12736.25</v>
          </cell>
          <cell r="J261">
            <v>10325.27</v>
          </cell>
          <cell r="K261">
            <v>100</v>
          </cell>
          <cell r="L261">
            <v>15.43</v>
          </cell>
          <cell r="M261">
            <v>0.89</v>
          </cell>
          <cell r="N261">
            <v>1</v>
          </cell>
          <cell r="O261">
            <v>878.63</v>
          </cell>
        </row>
        <row r="262">
          <cell r="A262" t="str">
            <v>PDV_492025/5</v>
          </cell>
          <cell r="B262">
            <v>45778</v>
          </cell>
          <cell r="C262" t="str">
            <v>PDV_49</v>
          </cell>
          <cell r="D262" t="str">
            <v>MG</v>
          </cell>
          <cell r="E262">
            <v>49</v>
          </cell>
          <cell r="F262">
            <v>22</v>
          </cell>
          <cell r="G262">
            <v>3027.21</v>
          </cell>
          <cell r="H262">
            <v>23971.72</v>
          </cell>
          <cell r="I262">
            <v>16115.38</v>
          </cell>
          <cell r="J262">
            <v>7942.27</v>
          </cell>
          <cell r="K262">
            <v>100</v>
          </cell>
          <cell r="L262">
            <v>15.43</v>
          </cell>
          <cell r="M262">
            <v>0.89</v>
          </cell>
          <cell r="N262">
            <v>16</v>
          </cell>
          <cell r="O262">
            <v>791.87</v>
          </cell>
        </row>
        <row r="263">
          <cell r="A263" t="str">
            <v>PDV_502025/5</v>
          </cell>
          <cell r="B263">
            <v>45778</v>
          </cell>
          <cell r="C263" t="str">
            <v>PDV_50</v>
          </cell>
          <cell r="D263" t="str">
            <v>RJ</v>
          </cell>
          <cell r="E263">
            <v>23</v>
          </cell>
          <cell r="F263">
            <v>22</v>
          </cell>
          <cell r="G263">
            <v>2690.42</v>
          </cell>
          <cell r="H263">
            <v>22324</v>
          </cell>
          <cell r="I263">
            <v>11524.26</v>
          </cell>
          <cell r="J263">
            <v>10844.01</v>
          </cell>
          <cell r="K263">
            <v>100</v>
          </cell>
          <cell r="L263">
            <v>15.43</v>
          </cell>
          <cell r="M263">
            <v>0.89</v>
          </cell>
          <cell r="N263">
            <v>1</v>
          </cell>
          <cell r="O263">
            <v>829.76</v>
          </cell>
        </row>
        <row r="264">
          <cell r="A264" t="str">
            <v>PDV_512025/5</v>
          </cell>
          <cell r="B264">
            <v>45778</v>
          </cell>
          <cell r="C264" t="str">
            <v>PDV_51</v>
          </cell>
          <cell r="D264" t="str">
            <v>MG</v>
          </cell>
          <cell r="E264">
            <v>5</v>
          </cell>
          <cell r="F264">
            <v>22</v>
          </cell>
          <cell r="G264">
            <v>2392.81</v>
          </cell>
          <cell r="H264">
            <v>12848.32</v>
          </cell>
          <cell r="I264">
            <v>7088.14</v>
          </cell>
          <cell r="J264">
            <v>5754.22</v>
          </cell>
          <cell r="K264">
            <v>100</v>
          </cell>
          <cell r="L264">
            <v>15.43</v>
          </cell>
          <cell r="M264">
            <v>0.89</v>
          </cell>
          <cell r="N264">
            <v>1</v>
          </cell>
          <cell r="O264">
            <v>536.96</v>
          </cell>
        </row>
        <row r="265">
          <cell r="A265" t="str">
            <v>PDV_522025/5</v>
          </cell>
          <cell r="B265">
            <v>45778</v>
          </cell>
          <cell r="C265" t="str">
            <v>PDV_52</v>
          </cell>
          <cell r="D265" t="str">
            <v>RJ</v>
          </cell>
          <cell r="E265">
            <v>39</v>
          </cell>
          <cell r="F265">
            <v>22</v>
          </cell>
          <cell r="G265">
            <v>2779.2</v>
          </cell>
          <cell r="H265">
            <v>18124.71</v>
          </cell>
          <cell r="I265">
            <v>10284.41</v>
          </cell>
          <cell r="J265">
            <v>7839.48</v>
          </cell>
          <cell r="K265">
            <v>100</v>
          </cell>
          <cell r="L265">
            <v>15.43</v>
          </cell>
          <cell r="M265">
            <v>0.89</v>
          </cell>
          <cell r="N265">
            <v>2</v>
          </cell>
          <cell r="O265">
            <v>652.15</v>
          </cell>
        </row>
        <row r="266">
          <cell r="A266" t="str">
            <v>PDV_532025/5</v>
          </cell>
          <cell r="B266">
            <v>45778</v>
          </cell>
          <cell r="C266" t="str">
            <v>PDV_53</v>
          </cell>
          <cell r="D266" t="str">
            <v>SP</v>
          </cell>
          <cell r="E266">
            <v>15</v>
          </cell>
          <cell r="F266">
            <v>22</v>
          </cell>
          <cell r="G266">
            <v>2478.06</v>
          </cell>
          <cell r="H266">
            <v>20485.87</v>
          </cell>
          <cell r="I266">
            <v>9693.26</v>
          </cell>
          <cell r="J266">
            <v>10816.74</v>
          </cell>
          <cell r="K266">
            <v>100</v>
          </cell>
          <cell r="L266">
            <v>15.43</v>
          </cell>
          <cell r="M266">
            <v>0.89</v>
          </cell>
          <cell r="N266">
            <v>9</v>
          </cell>
          <cell r="O266">
            <v>826.69</v>
          </cell>
        </row>
        <row r="267">
          <cell r="A267" t="str">
            <v>PDV_12025/6</v>
          </cell>
          <cell r="B267">
            <v>45809</v>
          </cell>
          <cell r="C267" t="str">
            <v>PDV_1</v>
          </cell>
          <cell r="D267" t="str">
            <v>BA</v>
          </cell>
          <cell r="E267">
            <v>13</v>
          </cell>
          <cell r="F267">
            <v>19</v>
          </cell>
          <cell r="G267">
            <v>2686.25</v>
          </cell>
          <cell r="H267">
            <v>19504.77</v>
          </cell>
          <cell r="I267">
            <v>11071.78</v>
          </cell>
          <cell r="J267">
            <v>8658.43</v>
          </cell>
          <cell r="K267">
            <v>100</v>
          </cell>
          <cell r="L267">
            <v>15.97</v>
          </cell>
          <cell r="M267">
            <v>0.55000000000000004</v>
          </cell>
          <cell r="N267">
            <v>15</v>
          </cell>
          <cell r="O267">
            <v>726.1</v>
          </cell>
        </row>
        <row r="268">
          <cell r="A268" t="str">
            <v>PDV_22025/6</v>
          </cell>
          <cell r="B268">
            <v>45809</v>
          </cell>
          <cell r="C268" t="str">
            <v>PDV_2</v>
          </cell>
          <cell r="D268" t="str">
            <v>MG</v>
          </cell>
          <cell r="E268">
            <v>29</v>
          </cell>
          <cell r="F268">
            <v>19</v>
          </cell>
          <cell r="G268">
            <v>2516.31</v>
          </cell>
          <cell r="H268">
            <v>21521.040000000001</v>
          </cell>
          <cell r="I268">
            <v>15887.2</v>
          </cell>
          <cell r="J268">
            <v>5640.03</v>
          </cell>
          <cell r="K268">
            <v>100</v>
          </cell>
          <cell r="L268">
            <v>15.97</v>
          </cell>
          <cell r="M268">
            <v>0.55000000000000004</v>
          </cell>
          <cell r="N268">
            <v>20</v>
          </cell>
          <cell r="O268">
            <v>855.26</v>
          </cell>
        </row>
        <row r="269">
          <cell r="A269" t="str">
            <v>PDV_32025/6</v>
          </cell>
          <cell r="B269">
            <v>45809</v>
          </cell>
          <cell r="C269" t="str">
            <v>PDV_3</v>
          </cell>
          <cell r="D269" t="str">
            <v>PE</v>
          </cell>
          <cell r="E269">
            <v>8</v>
          </cell>
          <cell r="F269">
            <v>19</v>
          </cell>
          <cell r="G269">
            <v>2475.0300000000002</v>
          </cell>
          <cell r="H269">
            <v>16893.689999999999</v>
          </cell>
          <cell r="I269">
            <v>9195.91</v>
          </cell>
          <cell r="J269">
            <v>7659.66</v>
          </cell>
          <cell r="K269">
            <v>100</v>
          </cell>
          <cell r="L269">
            <v>15.97</v>
          </cell>
          <cell r="M269">
            <v>0.55000000000000004</v>
          </cell>
          <cell r="N269">
            <v>12</v>
          </cell>
          <cell r="O269">
            <v>682.56</v>
          </cell>
        </row>
        <row r="270">
          <cell r="A270" t="str">
            <v>PDV_42025/6</v>
          </cell>
          <cell r="B270">
            <v>45809</v>
          </cell>
          <cell r="C270" t="str">
            <v>PDV_4</v>
          </cell>
          <cell r="D270" t="str">
            <v>SP</v>
          </cell>
          <cell r="E270">
            <v>44</v>
          </cell>
          <cell r="F270">
            <v>19</v>
          </cell>
          <cell r="G270">
            <v>2626.41</v>
          </cell>
          <cell r="H270">
            <v>19534.509999999998</v>
          </cell>
          <cell r="I270">
            <v>13868.89</v>
          </cell>
          <cell r="J270">
            <v>5629.26</v>
          </cell>
          <cell r="K270">
            <v>100</v>
          </cell>
          <cell r="L270">
            <v>15.97</v>
          </cell>
          <cell r="M270">
            <v>0.55000000000000004</v>
          </cell>
          <cell r="N270">
            <v>3</v>
          </cell>
          <cell r="O270">
            <v>743.77</v>
          </cell>
        </row>
        <row r="271">
          <cell r="A271" t="str">
            <v>PDV_52025/6</v>
          </cell>
          <cell r="B271">
            <v>45809</v>
          </cell>
          <cell r="C271" t="str">
            <v>PDV_5</v>
          </cell>
          <cell r="D271" t="str">
            <v>PE</v>
          </cell>
          <cell r="E271">
            <v>28</v>
          </cell>
          <cell r="F271">
            <v>19</v>
          </cell>
          <cell r="G271">
            <v>2608.3200000000002</v>
          </cell>
          <cell r="H271">
            <v>28499.93</v>
          </cell>
          <cell r="I271">
            <v>20810.599999999999</v>
          </cell>
          <cell r="J271">
            <v>7844.96</v>
          </cell>
          <cell r="K271">
            <v>100</v>
          </cell>
          <cell r="L271">
            <v>15.97</v>
          </cell>
          <cell r="M271">
            <v>0.55000000000000004</v>
          </cell>
          <cell r="N271">
            <v>9</v>
          </cell>
          <cell r="O271">
            <v>1092.6500000000001</v>
          </cell>
        </row>
        <row r="272">
          <cell r="A272" t="str">
            <v>PDV_62025/6</v>
          </cell>
          <cell r="B272">
            <v>45809</v>
          </cell>
          <cell r="C272" t="str">
            <v>PDV_6</v>
          </cell>
          <cell r="D272" t="str">
            <v>RS</v>
          </cell>
          <cell r="E272">
            <v>20</v>
          </cell>
          <cell r="F272">
            <v>19</v>
          </cell>
          <cell r="G272">
            <v>2435.38</v>
          </cell>
          <cell r="H272">
            <v>24475.98</v>
          </cell>
          <cell r="I272">
            <v>18984.150000000001</v>
          </cell>
          <cell r="J272">
            <v>5398.44</v>
          </cell>
          <cell r="K272">
            <v>100</v>
          </cell>
          <cell r="L272">
            <v>15.97</v>
          </cell>
          <cell r="M272">
            <v>0.55000000000000004</v>
          </cell>
          <cell r="N272">
            <v>10</v>
          </cell>
          <cell r="O272">
            <v>1005.02</v>
          </cell>
        </row>
        <row r="273">
          <cell r="A273" t="str">
            <v>PDV_72025/6</v>
          </cell>
          <cell r="B273">
            <v>45809</v>
          </cell>
          <cell r="C273" t="str">
            <v>PDV_7</v>
          </cell>
          <cell r="D273" t="str">
            <v>RJ</v>
          </cell>
          <cell r="E273">
            <v>15</v>
          </cell>
          <cell r="F273">
            <v>19</v>
          </cell>
          <cell r="G273">
            <v>2660.48</v>
          </cell>
          <cell r="H273">
            <v>13795.32</v>
          </cell>
          <cell r="I273">
            <v>9916.68</v>
          </cell>
          <cell r="J273">
            <v>4043.41</v>
          </cell>
          <cell r="K273">
            <v>100</v>
          </cell>
          <cell r="L273">
            <v>15.97</v>
          </cell>
          <cell r="M273">
            <v>0.55000000000000004</v>
          </cell>
          <cell r="N273">
            <v>6</v>
          </cell>
          <cell r="O273">
            <v>518.53</v>
          </cell>
        </row>
        <row r="274">
          <cell r="A274" t="str">
            <v>PDV_82025/6</v>
          </cell>
          <cell r="B274">
            <v>45809</v>
          </cell>
          <cell r="C274" t="str">
            <v>PDV_8</v>
          </cell>
          <cell r="D274" t="str">
            <v>SP</v>
          </cell>
          <cell r="E274">
            <v>35</v>
          </cell>
          <cell r="F274">
            <v>19</v>
          </cell>
          <cell r="G274">
            <v>2698.78</v>
          </cell>
          <cell r="H274">
            <v>22826.93</v>
          </cell>
          <cell r="I274">
            <v>10844.78</v>
          </cell>
          <cell r="J274">
            <v>12187.53</v>
          </cell>
          <cell r="K274">
            <v>100</v>
          </cell>
          <cell r="L274">
            <v>15.97</v>
          </cell>
          <cell r="M274">
            <v>0.55000000000000004</v>
          </cell>
          <cell r="N274">
            <v>19</v>
          </cell>
          <cell r="O274">
            <v>845.82</v>
          </cell>
        </row>
        <row r="275">
          <cell r="A275" t="str">
            <v>PDV_92025/6</v>
          </cell>
          <cell r="B275">
            <v>45809</v>
          </cell>
          <cell r="C275" t="str">
            <v>PDV_9</v>
          </cell>
          <cell r="D275" t="str">
            <v>DF</v>
          </cell>
          <cell r="E275">
            <v>39</v>
          </cell>
          <cell r="F275">
            <v>19</v>
          </cell>
          <cell r="G275">
            <v>2568.0700000000002</v>
          </cell>
          <cell r="H275">
            <v>15269.14</v>
          </cell>
          <cell r="I275">
            <v>7578.93</v>
          </cell>
          <cell r="J275">
            <v>7701.71</v>
          </cell>
          <cell r="K275">
            <v>100</v>
          </cell>
          <cell r="L275">
            <v>15.97</v>
          </cell>
          <cell r="M275">
            <v>0.55000000000000004</v>
          </cell>
          <cell r="N275">
            <v>7</v>
          </cell>
          <cell r="O275">
            <v>594.58000000000004</v>
          </cell>
        </row>
        <row r="276">
          <cell r="A276" t="str">
            <v>PDV_102025/6</v>
          </cell>
          <cell r="B276">
            <v>45809</v>
          </cell>
          <cell r="C276" t="str">
            <v>PDV_10</v>
          </cell>
          <cell r="D276" t="str">
            <v>SP</v>
          </cell>
          <cell r="E276">
            <v>7</v>
          </cell>
          <cell r="F276">
            <v>19</v>
          </cell>
          <cell r="G276">
            <v>2769.48</v>
          </cell>
          <cell r="H276">
            <v>32174.57</v>
          </cell>
          <cell r="I276">
            <v>25614.66</v>
          </cell>
          <cell r="J276">
            <v>6491.77</v>
          </cell>
          <cell r="K276">
            <v>100</v>
          </cell>
          <cell r="L276">
            <v>15.97</v>
          </cell>
          <cell r="M276">
            <v>0.55000000000000004</v>
          </cell>
          <cell r="N276">
            <v>1</v>
          </cell>
          <cell r="O276">
            <v>1161.76</v>
          </cell>
        </row>
        <row r="277">
          <cell r="A277" t="str">
            <v>PDV_112025/6</v>
          </cell>
          <cell r="B277">
            <v>45809</v>
          </cell>
          <cell r="C277" t="str">
            <v>PDV_11</v>
          </cell>
          <cell r="D277" t="str">
            <v>PE</v>
          </cell>
          <cell r="E277">
            <v>39</v>
          </cell>
          <cell r="F277">
            <v>19</v>
          </cell>
          <cell r="G277">
            <v>2743.15</v>
          </cell>
          <cell r="H277">
            <v>23884.89</v>
          </cell>
          <cell r="I277">
            <v>11173.33</v>
          </cell>
          <cell r="J277">
            <v>12790.82</v>
          </cell>
          <cell r="K277">
            <v>100</v>
          </cell>
          <cell r="L277">
            <v>15.97</v>
          </cell>
          <cell r="M277">
            <v>0.55000000000000004</v>
          </cell>
          <cell r="N277">
            <v>1</v>
          </cell>
          <cell r="O277">
            <v>870.71</v>
          </cell>
        </row>
        <row r="278">
          <cell r="A278" t="str">
            <v>PDV_122025/6</v>
          </cell>
          <cell r="B278">
            <v>45809</v>
          </cell>
          <cell r="C278" t="str">
            <v>PDV_12</v>
          </cell>
          <cell r="D278" t="str">
            <v>BA</v>
          </cell>
          <cell r="E278">
            <v>19</v>
          </cell>
          <cell r="F278">
            <v>19</v>
          </cell>
          <cell r="G278">
            <v>2630.01</v>
          </cell>
          <cell r="H278">
            <v>17359.34</v>
          </cell>
          <cell r="I278">
            <v>13082.25</v>
          </cell>
          <cell r="J278">
            <v>4223.2</v>
          </cell>
          <cell r="K278">
            <v>100</v>
          </cell>
          <cell r="L278">
            <v>15.97</v>
          </cell>
          <cell r="M278">
            <v>0.55000000000000004</v>
          </cell>
          <cell r="N278">
            <v>15</v>
          </cell>
          <cell r="O278">
            <v>660.05</v>
          </cell>
        </row>
        <row r="279">
          <cell r="A279" t="str">
            <v>PDV_132025/6</v>
          </cell>
          <cell r="B279">
            <v>45809</v>
          </cell>
          <cell r="C279" t="str">
            <v>PDV_13</v>
          </cell>
          <cell r="D279" t="str">
            <v>RJ</v>
          </cell>
          <cell r="E279">
            <v>39</v>
          </cell>
          <cell r="F279">
            <v>19</v>
          </cell>
          <cell r="G279">
            <v>2754.11</v>
          </cell>
          <cell r="H279">
            <v>15095.29</v>
          </cell>
          <cell r="I279">
            <v>9245.02</v>
          </cell>
          <cell r="J279">
            <v>5770.61</v>
          </cell>
          <cell r="K279">
            <v>100</v>
          </cell>
          <cell r="L279">
            <v>15.97</v>
          </cell>
          <cell r="M279">
            <v>0.55000000000000004</v>
          </cell>
          <cell r="N279">
            <v>4</v>
          </cell>
          <cell r="O279">
            <v>548.1</v>
          </cell>
        </row>
        <row r="280">
          <cell r="A280" t="str">
            <v>PDV_142025/6</v>
          </cell>
          <cell r="B280">
            <v>45809</v>
          </cell>
          <cell r="C280" t="str">
            <v>PDV_14</v>
          </cell>
          <cell r="D280" t="str">
            <v>MG</v>
          </cell>
          <cell r="E280">
            <v>29</v>
          </cell>
          <cell r="F280">
            <v>19</v>
          </cell>
          <cell r="G280">
            <v>2765.65</v>
          </cell>
          <cell r="H280">
            <v>29807.53</v>
          </cell>
          <cell r="I280">
            <v>18424.12</v>
          </cell>
          <cell r="J280">
            <v>11476.39</v>
          </cell>
          <cell r="K280">
            <v>100</v>
          </cell>
          <cell r="L280">
            <v>15.97</v>
          </cell>
          <cell r="M280">
            <v>0.55000000000000004</v>
          </cell>
          <cell r="N280">
            <v>10</v>
          </cell>
          <cell r="O280">
            <v>1077.78</v>
          </cell>
        </row>
        <row r="281">
          <cell r="A281" t="str">
            <v>PDV_152025/6</v>
          </cell>
          <cell r="B281">
            <v>45809</v>
          </cell>
          <cell r="C281" t="str">
            <v>PDV_15</v>
          </cell>
          <cell r="D281" t="str">
            <v>PR</v>
          </cell>
          <cell r="E281">
            <v>20</v>
          </cell>
          <cell r="F281">
            <v>19</v>
          </cell>
          <cell r="G281">
            <v>2666.55</v>
          </cell>
          <cell r="H281">
            <v>30380.61</v>
          </cell>
          <cell r="I281">
            <v>17174.05</v>
          </cell>
          <cell r="J281">
            <v>12997.19</v>
          </cell>
          <cell r="K281">
            <v>100</v>
          </cell>
          <cell r="L281">
            <v>15.97</v>
          </cell>
          <cell r="M281">
            <v>0.55000000000000004</v>
          </cell>
          <cell r="N281">
            <v>14</v>
          </cell>
          <cell r="O281">
            <v>1139.32</v>
          </cell>
        </row>
        <row r="282">
          <cell r="A282" t="str">
            <v>PDV_162025/6</v>
          </cell>
          <cell r="B282">
            <v>45809</v>
          </cell>
          <cell r="C282" t="str">
            <v>PDV_16</v>
          </cell>
          <cell r="D282" t="str">
            <v>RJ</v>
          </cell>
          <cell r="E282">
            <v>41</v>
          </cell>
          <cell r="F282">
            <v>19</v>
          </cell>
          <cell r="G282">
            <v>2286.83</v>
          </cell>
          <cell r="H282">
            <v>12249.46</v>
          </cell>
          <cell r="I282">
            <v>10150.280000000001</v>
          </cell>
          <cell r="J282">
            <v>2207.5</v>
          </cell>
          <cell r="K282">
            <v>100</v>
          </cell>
          <cell r="L282">
            <v>15.97</v>
          </cell>
          <cell r="M282">
            <v>0.55000000000000004</v>
          </cell>
          <cell r="N282">
            <v>13</v>
          </cell>
          <cell r="O282">
            <v>535.65</v>
          </cell>
        </row>
        <row r="283">
          <cell r="A283" t="str">
            <v>PDV_172025/6</v>
          </cell>
          <cell r="B283">
            <v>45809</v>
          </cell>
          <cell r="C283" t="str">
            <v>PDV_17</v>
          </cell>
          <cell r="D283" t="str">
            <v>DF</v>
          </cell>
          <cell r="E283">
            <v>48</v>
          </cell>
          <cell r="F283">
            <v>19</v>
          </cell>
          <cell r="G283">
            <v>2704.79</v>
          </cell>
          <cell r="H283">
            <v>26529.599999999999</v>
          </cell>
          <cell r="I283">
            <v>17598.939999999999</v>
          </cell>
          <cell r="J283">
            <v>8990.7199999999993</v>
          </cell>
          <cell r="K283">
            <v>100</v>
          </cell>
          <cell r="L283">
            <v>15.97</v>
          </cell>
          <cell r="M283">
            <v>0.55000000000000004</v>
          </cell>
          <cell r="N283">
            <v>13</v>
          </cell>
          <cell r="O283">
            <v>980.84</v>
          </cell>
        </row>
        <row r="284">
          <cell r="A284" t="str">
            <v>PDV_182025/6</v>
          </cell>
          <cell r="B284">
            <v>45809</v>
          </cell>
          <cell r="C284" t="str">
            <v>PDV_18</v>
          </cell>
          <cell r="D284" t="str">
            <v>MG</v>
          </cell>
          <cell r="E284">
            <v>21</v>
          </cell>
          <cell r="F284">
            <v>19</v>
          </cell>
          <cell r="G284">
            <v>2618.5500000000002</v>
          </cell>
          <cell r="H284">
            <v>30653.14</v>
          </cell>
          <cell r="I284">
            <v>24572.7</v>
          </cell>
          <cell r="J284">
            <v>6050.42</v>
          </cell>
          <cell r="K284">
            <v>100</v>
          </cell>
          <cell r="L284">
            <v>15.97</v>
          </cell>
          <cell r="M284">
            <v>0.55000000000000004</v>
          </cell>
          <cell r="N284">
            <v>17</v>
          </cell>
          <cell r="O284">
            <v>1170.6199999999999</v>
          </cell>
        </row>
        <row r="285">
          <cell r="A285" t="str">
            <v>PDV_192025/6</v>
          </cell>
          <cell r="B285">
            <v>45809</v>
          </cell>
          <cell r="C285" t="str">
            <v>PDV_19</v>
          </cell>
          <cell r="D285" t="str">
            <v>SP</v>
          </cell>
          <cell r="E285">
            <v>14</v>
          </cell>
          <cell r="F285">
            <v>19</v>
          </cell>
          <cell r="G285">
            <v>2658.85</v>
          </cell>
          <cell r="H285">
            <v>21804.31</v>
          </cell>
          <cell r="I285">
            <v>15764.18</v>
          </cell>
          <cell r="J285">
            <v>6064.74</v>
          </cell>
          <cell r="K285">
            <v>100</v>
          </cell>
          <cell r="L285">
            <v>15.97</v>
          </cell>
          <cell r="M285">
            <v>0.55000000000000004</v>
          </cell>
          <cell r="N285">
            <v>18</v>
          </cell>
          <cell r="O285">
            <v>820.07</v>
          </cell>
        </row>
        <row r="286">
          <cell r="A286" t="str">
            <v>PDV_202025/6</v>
          </cell>
          <cell r="B286">
            <v>45809</v>
          </cell>
          <cell r="C286" t="str">
            <v>PDV_20</v>
          </cell>
          <cell r="D286" t="str">
            <v>PE</v>
          </cell>
          <cell r="E286">
            <v>34</v>
          </cell>
          <cell r="F286">
            <v>19</v>
          </cell>
          <cell r="G286">
            <v>2700.28</v>
          </cell>
          <cell r="H286">
            <v>17645.34</v>
          </cell>
          <cell r="I286">
            <v>15455.51</v>
          </cell>
          <cell r="J286">
            <v>2291.5700000000002</v>
          </cell>
          <cell r="K286">
            <v>100</v>
          </cell>
          <cell r="L286">
            <v>15.97</v>
          </cell>
          <cell r="M286">
            <v>0.55000000000000004</v>
          </cell>
          <cell r="N286">
            <v>14</v>
          </cell>
          <cell r="O286">
            <v>653.46</v>
          </cell>
        </row>
        <row r="287">
          <cell r="A287" t="str">
            <v>PDV_212025/6</v>
          </cell>
          <cell r="B287">
            <v>45809</v>
          </cell>
          <cell r="C287" t="str">
            <v>PDV_21</v>
          </cell>
          <cell r="D287" t="str">
            <v>SP</v>
          </cell>
          <cell r="E287">
            <v>27</v>
          </cell>
          <cell r="F287">
            <v>19</v>
          </cell>
          <cell r="G287">
            <v>2506.38</v>
          </cell>
          <cell r="H287">
            <v>13303.81</v>
          </cell>
          <cell r="I287">
            <v>8029.96</v>
          </cell>
          <cell r="J287">
            <v>5161.58</v>
          </cell>
          <cell r="K287">
            <v>100</v>
          </cell>
          <cell r="L287">
            <v>15.97</v>
          </cell>
          <cell r="M287">
            <v>0.55000000000000004</v>
          </cell>
          <cell r="N287">
            <v>11</v>
          </cell>
          <cell r="O287">
            <v>530.79999999999995</v>
          </cell>
        </row>
        <row r="288">
          <cell r="A288" t="str">
            <v>PDV_222025/6</v>
          </cell>
          <cell r="B288">
            <v>45809</v>
          </cell>
          <cell r="C288" t="str">
            <v>PDV_22</v>
          </cell>
          <cell r="D288" t="str">
            <v>RS</v>
          </cell>
          <cell r="E288">
            <v>7</v>
          </cell>
          <cell r="F288">
            <v>19</v>
          </cell>
          <cell r="G288">
            <v>2718.56</v>
          </cell>
          <cell r="H288">
            <v>28550.3</v>
          </cell>
          <cell r="I288">
            <v>15232.1</v>
          </cell>
          <cell r="J288">
            <v>13508.4</v>
          </cell>
          <cell r="K288">
            <v>100</v>
          </cell>
          <cell r="L288">
            <v>15.97</v>
          </cell>
          <cell r="M288">
            <v>0.55000000000000004</v>
          </cell>
          <cell r="N288">
            <v>1</v>
          </cell>
          <cell r="O288">
            <v>1050.2</v>
          </cell>
        </row>
        <row r="289">
          <cell r="A289" t="str">
            <v>PDV_232025/6</v>
          </cell>
          <cell r="B289">
            <v>45809</v>
          </cell>
          <cell r="C289" t="str">
            <v>PDV_23</v>
          </cell>
          <cell r="D289" t="str">
            <v>RJ</v>
          </cell>
          <cell r="E289">
            <v>32</v>
          </cell>
          <cell r="F289">
            <v>19</v>
          </cell>
          <cell r="G289">
            <v>2577.27</v>
          </cell>
          <cell r="H289">
            <v>17320.009999999998</v>
          </cell>
          <cell r="I289">
            <v>9871.16</v>
          </cell>
          <cell r="J289">
            <v>7375.75</v>
          </cell>
          <cell r="K289">
            <v>100</v>
          </cell>
          <cell r="L289">
            <v>15.97</v>
          </cell>
          <cell r="M289">
            <v>0.55000000000000004</v>
          </cell>
          <cell r="N289">
            <v>20</v>
          </cell>
          <cell r="O289">
            <v>672.03</v>
          </cell>
        </row>
        <row r="290">
          <cell r="A290" t="str">
            <v>PDV_242025/6</v>
          </cell>
          <cell r="B290">
            <v>45809</v>
          </cell>
          <cell r="C290" t="str">
            <v>PDV_24</v>
          </cell>
          <cell r="D290" t="str">
            <v>PE</v>
          </cell>
          <cell r="E290">
            <v>49</v>
          </cell>
          <cell r="F290">
            <v>19</v>
          </cell>
          <cell r="G290">
            <v>2451.7600000000002</v>
          </cell>
          <cell r="H290">
            <v>13502.1</v>
          </cell>
          <cell r="I290">
            <v>11720.18</v>
          </cell>
          <cell r="J290">
            <v>1951.02</v>
          </cell>
          <cell r="K290">
            <v>100</v>
          </cell>
          <cell r="L290">
            <v>15.97</v>
          </cell>
          <cell r="M290">
            <v>0.55000000000000004</v>
          </cell>
          <cell r="N290">
            <v>4</v>
          </cell>
          <cell r="O290">
            <v>550.71</v>
          </cell>
        </row>
        <row r="291">
          <cell r="A291" t="str">
            <v>PDV_252025/6</v>
          </cell>
          <cell r="B291">
            <v>45809</v>
          </cell>
          <cell r="C291" t="str">
            <v>PDV_25</v>
          </cell>
          <cell r="D291" t="str">
            <v>PE</v>
          </cell>
          <cell r="E291">
            <v>9</v>
          </cell>
          <cell r="F291">
            <v>19</v>
          </cell>
          <cell r="G291">
            <v>2581.4299999999998</v>
          </cell>
          <cell r="H291">
            <v>13570.21</v>
          </cell>
          <cell r="I291">
            <v>7861.72</v>
          </cell>
          <cell r="J291">
            <v>5661.09</v>
          </cell>
          <cell r="K291">
            <v>100</v>
          </cell>
          <cell r="L291">
            <v>15.97</v>
          </cell>
          <cell r="M291">
            <v>0.55000000000000004</v>
          </cell>
          <cell r="N291">
            <v>12</v>
          </cell>
          <cell r="O291">
            <v>525.69000000000005</v>
          </cell>
        </row>
        <row r="292">
          <cell r="A292" t="str">
            <v>PDV_262025/6</v>
          </cell>
          <cell r="B292">
            <v>45809</v>
          </cell>
          <cell r="C292" t="str">
            <v>PDV_26</v>
          </cell>
          <cell r="D292" t="str">
            <v>SP</v>
          </cell>
          <cell r="E292">
            <v>36</v>
          </cell>
          <cell r="F292">
            <v>19</v>
          </cell>
          <cell r="G292">
            <v>2631.57</v>
          </cell>
          <cell r="H292">
            <v>25657.63</v>
          </cell>
          <cell r="I292">
            <v>16948.34</v>
          </cell>
          <cell r="J292">
            <v>8746.1299999999992</v>
          </cell>
          <cell r="K292">
            <v>100</v>
          </cell>
          <cell r="L292">
            <v>15.97</v>
          </cell>
          <cell r="M292">
            <v>0.55000000000000004</v>
          </cell>
          <cell r="N292">
            <v>3</v>
          </cell>
          <cell r="O292">
            <v>974.99</v>
          </cell>
        </row>
        <row r="293">
          <cell r="A293" t="str">
            <v>PDV_272025/6</v>
          </cell>
          <cell r="B293">
            <v>45809</v>
          </cell>
          <cell r="C293" t="str">
            <v>PDV_27</v>
          </cell>
          <cell r="D293" t="str">
            <v>RS</v>
          </cell>
          <cell r="E293">
            <v>6</v>
          </cell>
          <cell r="F293">
            <v>19</v>
          </cell>
          <cell r="G293">
            <v>2910.33</v>
          </cell>
          <cell r="H293">
            <v>31338.97</v>
          </cell>
          <cell r="I293">
            <v>19195.84</v>
          </cell>
          <cell r="J293">
            <v>12044.82</v>
          </cell>
          <cell r="K293">
            <v>100</v>
          </cell>
          <cell r="L293">
            <v>15.97</v>
          </cell>
          <cell r="M293">
            <v>0.55000000000000004</v>
          </cell>
          <cell r="N293">
            <v>14</v>
          </cell>
          <cell r="O293">
            <v>1076.82</v>
          </cell>
        </row>
        <row r="294">
          <cell r="A294" t="str">
            <v>PDV_282025/6</v>
          </cell>
          <cell r="B294">
            <v>45809</v>
          </cell>
          <cell r="C294" t="str">
            <v>PDV_28</v>
          </cell>
          <cell r="D294" t="str">
            <v>SP</v>
          </cell>
          <cell r="E294">
            <v>18</v>
          </cell>
          <cell r="F294">
            <v>19</v>
          </cell>
          <cell r="G294">
            <v>2606.3200000000002</v>
          </cell>
          <cell r="H294">
            <v>13821.82</v>
          </cell>
          <cell r="I294">
            <v>8057.5</v>
          </cell>
          <cell r="J294">
            <v>5613.78</v>
          </cell>
          <cell r="K294">
            <v>100</v>
          </cell>
          <cell r="L294">
            <v>15.97</v>
          </cell>
          <cell r="M294">
            <v>0.55000000000000004</v>
          </cell>
          <cell r="N294">
            <v>15</v>
          </cell>
          <cell r="O294">
            <v>530.32000000000005</v>
          </cell>
        </row>
        <row r="295">
          <cell r="A295" t="str">
            <v>PDV_292025/6</v>
          </cell>
          <cell r="B295">
            <v>45809</v>
          </cell>
          <cell r="C295" t="str">
            <v>PDV_29</v>
          </cell>
          <cell r="D295" t="str">
            <v>MG</v>
          </cell>
          <cell r="E295">
            <v>24</v>
          </cell>
          <cell r="F295">
            <v>19</v>
          </cell>
          <cell r="G295">
            <v>2678.88</v>
          </cell>
          <cell r="H295">
            <v>18553.14</v>
          </cell>
          <cell r="I295">
            <v>14608.73</v>
          </cell>
          <cell r="J295">
            <v>3757.43</v>
          </cell>
          <cell r="K295">
            <v>100</v>
          </cell>
          <cell r="L295">
            <v>15.97</v>
          </cell>
          <cell r="M295">
            <v>0.55000000000000004</v>
          </cell>
          <cell r="N295">
            <v>3</v>
          </cell>
          <cell r="O295">
            <v>692.57</v>
          </cell>
        </row>
        <row r="296">
          <cell r="A296" t="str">
            <v>PDV_302025/6</v>
          </cell>
          <cell r="B296">
            <v>45809</v>
          </cell>
          <cell r="C296" t="str">
            <v>PDV_30</v>
          </cell>
          <cell r="D296" t="str">
            <v>SP</v>
          </cell>
          <cell r="E296">
            <v>41</v>
          </cell>
          <cell r="F296">
            <v>19</v>
          </cell>
          <cell r="G296">
            <v>2577.4899999999998</v>
          </cell>
          <cell r="H296">
            <v>13180.93</v>
          </cell>
          <cell r="I296">
            <v>8099.48</v>
          </cell>
          <cell r="J296">
            <v>5214.25</v>
          </cell>
          <cell r="K296">
            <v>100</v>
          </cell>
          <cell r="L296">
            <v>15.97</v>
          </cell>
          <cell r="M296">
            <v>0.55000000000000004</v>
          </cell>
          <cell r="N296">
            <v>1</v>
          </cell>
          <cell r="O296">
            <v>511.39</v>
          </cell>
        </row>
        <row r="297">
          <cell r="A297" t="str">
            <v>PDV_312025/6</v>
          </cell>
          <cell r="B297">
            <v>45809</v>
          </cell>
          <cell r="C297" t="str">
            <v>PDV_31</v>
          </cell>
          <cell r="D297" t="str">
            <v>SP</v>
          </cell>
          <cell r="E297">
            <v>9</v>
          </cell>
          <cell r="F297">
            <v>19</v>
          </cell>
          <cell r="G297">
            <v>2731.03</v>
          </cell>
          <cell r="H297">
            <v>31998.720000000001</v>
          </cell>
          <cell r="I297">
            <v>17847.2</v>
          </cell>
          <cell r="J297">
            <v>14001.43</v>
          </cell>
          <cell r="K297">
            <v>100</v>
          </cell>
          <cell r="L297">
            <v>15.97</v>
          </cell>
          <cell r="M297">
            <v>0.55000000000000004</v>
          </cell>
          <cell r="N297">
            <v>2</v>
          </cell>
          <cell r="O297">
            <v>1171.67</v>
          </cell>
        </row>
        <row r="298">
          <cell r="A298" t="str">
            <v>PDV_322025/6</v>
          </cell>
          <cell r="B298">
            <v>45809</v>
          </cell>
          <cell r="C298" t="str">
            <v>PDV_32</v>
          </cell>
          <cell r="D298" t="str">
            <v>SP</v>
          </cell>
          <cell r="E298">
            <v>32</v>
          </cell>
          <cell r="F298">
            <v>19</v>
          </cell>
          <cell r="G298">
            <v>2939.98</v>
          </cell>
          <cell r="H298">
            <v>18762</v>
          </cell>
          <cell r="I298">
            <v>15181.21</v>
          </cell>
          <cell r="J298">
            <v>3655.38</v>
          </cell>
          <cell r="K298">
            <v>100</v>
          </cell>
          <cell r="L298">
            <v>15.97</v>
          </cell>
          <cell r="M298">
            <v>0.55000000000000004</v>
          </cell>
          <cell r="N298">
            <v>18</v>
          </cell>
          <cell r="O298">
            <v>638.16999999999996</v>
          </cell>
        </row>
        <row r="299">
          <cell r="A299" t="str">
            <v>PDV_332025/6</v>
          </cell>
          <cell r="B299">
            <v>45809</v>
          </cell>
          <cell r="C299" t="str">
            <v>PDV_33</v>
          </cell>
          <cell r="D299" t="str">
            <v>MG</v>
          </cell>
          <cell r="E299">
            <v>8</v>
          </cell>
          <cell r="F299">
            <v>19</v>
          </cell>
          <cell r="G299">
            <v>2508.27</v>
          </cell>
          <cell r="H299">
            <v>20719.259999999998</v>
          </cell>
          <cell r="I299">
            <v>17478</v>
          </cell>
          <cell r="J299">
            <v>3230.98</v>
          </cell>
          <cell r="K299">
            <v>100</v>
          </cell>
          <cell r="L299">
            <v>15.97</v>
          </cell>
          <cell r="M299">
            <v>0.55000000000000004</v>
          </cell>
          <cell r="N299">
            <v>2</v>
          </cell>
          <cell r="O299">
            <v>826.04</v>
          </cell>
        </row>
        <row r="300">
          <cell r="A300" t="str">
            <v>PDV_342025/6</v>
          </cell>
          <cell r="B300">
            <v>45809</v>
          </cell>
          <cell r="C300" t="str">
            <v>PDV_34</v>
          </cell>
          <cell r="D300" t="str">
            <v>SP</v>
          </cell>
          <cell r="E300">
            <v>12</v>
          </cell>
          <cell r="F300">
            <v>19</v>
          </cell>
          <cell r="G300">
            <v>2421</v>
          </cell>
          <cell r="H300">
            <v>14317.38</v>
          </cell>
          <cell r="I300">
            <v>7041.47</v>
          </cell>
          <cell r="J300">
            <v>7232</v>
          </cell>
          <cell r="L300">
            <v>15.97</v>
          </cell>
          <cell r="M300">
            <v>0.55000000000000004</v>
          </cell>
          <cell r="N300">
            <v>1</v>
          </cell>
          <cell r="O300">
            <v>591.38</v>
          </cell>
        </row>
        <row r="301">
          <cell r="A301" t="str">
            <v>PDV_352025/6</v>
          </cell>
          <cell r="B301">
            <v>45809</v>
          </cell>
          <cell r="C301" t="str">
            <v>PDV_35</v>
          </cell>
          <cell r="D301" t="str">
            <v>SP</v>
          </cell>
          <cell r="E301">
            <v>6</v>
          </cell>
          <cell r="F301">
            <v>19</v>
          </cell>
          <cell r="G301">
            <v>2692.52</v>
          </cell>
          <cell r="H301">
            <v>25161.86</v>
          </cell>
          <cell r="I301">
            <v>13990.51</v>
          </cell>
          <cell r="J301">
            <v>11153.7</v>
          </cell>
          <cell r="K301">
            <v>100</v>
          </cell>
          <cell r="L301">
            <v>15.97</v>
          </cell>
          <cell r="M301">
            <v>0.55000000000000004</v>
          </cell>
          <cell r="N301">
            <v>18</v>
          </cell>
          <cell r="O301">
            <v>934.51</v>
          </cell>
        </row>
        <row r="302">
          <cell r="A302" t="str">
            <v>PDV_362025/6</v>
          </cell>
          <cell r="B302">
            <v>45809</v>
          </cell>
          <cell r="C302" t="str">
            <v>PDV_36</v>
          </cell>
          <cell r="D302" t="str">
            <v>SP</v>
          </cell>
          <cell r="E302">
            <v>19</v>
          </cell>
          <cell r="F302">
            <v>19</v>
          </cell>
          <cell r="G302">
            <v>2815.92</v>
          </cell>
          <cell r="H302">
            <v>22067.49</v>
          </cell>
          <cell r="I302">
            <v>13483.76</v>
          </cell>
          <cell r="J302">
            <v>8485.58</v>
          </cell>
          <cell r="K302">
            <v>100</v>
          </cell>
          <cell r="L302">
            <v>15.97</v>
          </cell>
          <cell r="M302">
            <v>0.55000000000000004</v>
          </cell>
          <cell r="N302">
            <v>5</v>
          </cell>
          <cell r="O302">
            <v>783.67</v>
          </cell>
        </row>
        <row r="303">
          <cell r="A303" t="str">
            <v>PDV_372025/6</v>
          </cell>
          <cell r="B303">
            <v>45809</v>
          </cell>
          <cell r="C303" t="str">
            <v>PDV_37</v>
          </cell>
          <cell r="D303" t="str">
            <v>PR</v>
          </cell>
          <cell r="E303">
            <v>12</v>
          </cell>
          <cell r="F303">
            <v>19</v>
          </cell>
          <cell r="G303">
            <v>2860.68</v>
          </cell>
          <cell r="H303">
            <v>35922.120000000003</v>
          </cell>
          <cell r="I303">
            <v>24792.82</v>
          </cell>
          <cell r="J303">
            <v>5581.1</v>
          </cell>
          <cell r="K303">
            <v>105.03</v>
          </cell>
          <cell r="L303">
            <v>15.97</v>
          </cell>
          <cell r="M303">
            <v>0.55000000000000004</v>
          </cell>
          <cell r="N303">
            <v>12</v>
          </cell>
          <cell r="O303">
            <v>1255.72</v>
          </cell>
        </row>
        <row r="304">
          <cell r="A304" t="str">
            <v>PDV_382025/6</v>
          </cell>
          <cell r="B304">
            <v>45809</v>
          </cell>
          <cell r="C304" t="str">
            <v>PDV_38</v>
          </cell>
          <cell r="D304" t="str">
            <v>RS</v>
          </cell>
          <cell r="E304">
            <v>21</v>
          </cell>
          <cell r="F304">
            <v>19</v>
          </cell>
          <cell r="G304">
            <v>2661.34</v>
          </cell>
          <cell r="H304">
            <v>27913.38</v>
          </cell>
          <cell r="I304">
            <v>16081.21</v>
          </cell>
          <cell r="J304">
            <v>11788.54</v>
          </cell>
          <cell r="K304">
            <v>100</v>
          </cell>
          <cell r="L304">
            <v>15.97</v>
          </cell>
          <cell r="M304">
            <v>0.55000000000000004</v>
          </cell>
          <cell r="N304">
            <v>12</v>
          </cell>
          <cell r="O304">
            <v>1048.8499999999999</v>
          </cell>
        </row>
        <row r="305">
          <cell r="A305" t="str">
            <v>PDV_392025/6</v>
          </cell>
          <cell r="B305">
            <v>45809</v>
          </cell>
          <cell r="C305" t="str">
            <v>PDV_39</v>
          </cell>
          <cell r="D305" t="str">
            <v>SP</v>
          </cell>
          <cell r="E305">
            <v>7</v>
          </cell>
          <cell r="F305">
            <v>19</v>
          </cell>
          <cell r="G305">
            <v>2595.21</v>
          </cell>
          <cell r="H305">
            <v>16411.400000000001</v>
          </cell>
          <cell r="I305">
            <v>10589.59</v>
          </cell>
          <cell r="J305">
            <v>5778.29</v>
          </cell>
          <cell r="K305">
            <v>100</v>
          </cell>
          <cell r="L305">
            <v>15.97</v>
          </cell>
          <cell r="M305">
            <v>0.55000000000000004</v>
          </cell>
          <cell r="N305">
            <v>9</v>
          </cell>
          <cell r="O305">
            <v>632.37</v>
          </cell>
        </row>
        <row r="306">
          <cell r="A306" t="str">
            <v>PDV_402025/6</v>
          </cell>
          <cell r="B306">
            <v>45809</v>
          </cell>
          <cell r="C306" t="str">
            <v>PDV_40</v>
          </cell>
          <cell r="D306" t="str">
            <v>PR</v>
          </cell>
          <cell r="E306">
            <v>46</v>
          </cell>
          <cell r="F306">
            <v>19</v>
          </cell>
          <cell r="G306">
            <v>2673.1</v>
          </cell>
          <cell r="H306">
            <v>23691.33</v>
          </cell>
          <cell r="I306">
            <v>18326.37</v>
          </cell>
          <cell r="J306">
            <v>5316.05</v>
          </cell>
          <cell r="K306">
            <v>100</v>
          </cell>
          <cell r="L306">
            <v>15.97</v>
          </cell>
          <cell r="M306">
            <v>0.55000000000000004</v>
          </cell>
          <cell r="N306">
            <v>2</v>
          </cell>
          <cell r="O306">
            <v>886.29</v>
          </cell>
        </row>
        <row r="307">
          <cell r="A307" t="str">
            <v>PDV_412025/6</v>
          </cell>
          <cell r="B307">
            <v>45809</v>
          </cell>
          <cell r="C307" t="str">
            <v>PDV_41</v>
          </cell>
          <cell r="D307" t="str">
            <v>MG</v>
          </cell>
          <cell r="E307">
            <v>35</v>
          </cell>
          <cell r="F307">
            <v>19</v>
          </cell>
          <cell r="G307">
            <v>2744.43</v>
          </cell>
          <cell r="H307">
            <v>31537.16</v>
          </cell>
          <cell r="I307">
            <v>16604.07</v>
          </cell>
          <cell r="J307">
            <v>15055.85</v>
          </cell>
          <cell r="K307">
            <v>100</v>
          </cell>
          <cell r="L307">
            <v>15.97</v>
          </cell>
          <cell r="M307">
            <v>0.55000000000000004</v>
          </cell>
          <cell r="N307">
            <v>19</v>
          </cell>
          <cell r="O307">
            <v>1149.1300000000001</v>
          </cell>
        </row>
        <row r="308">
          <cell r="A308" t="str">
            <v>PDV_422025/6</v>
          </cell>
          <cell r="B308">
            <v>45809</v>
          </cell>
          <cell r="C308" t="str">
            <v>PDV_42</v>
          </cell>
          <cell r="D308" t="str">
            <v>SP</v>
          </cell>
          <cell r="E308">
            <v>24</v>
          </cell>
          <cell r="F308">
            <v>19</v>
          </cell>
          <cell r="G308">
            <v>2813.65</v>
          </cell>
          <cell r="H308">
            <v>15879.78</v>
          </cell>
          <cell r="I308">
            <v>13379.54</v>
          </cell>
          <cell r="J308">
            <v>2508.1999999999998</v>
          </cell>
          <cell r="K308">
            <v>100</v>
          </cell>
          <cell r="L308">
            <v>15.97</v>
          </cell>
          <cell r="M308">
            <v>0.55000000000000004</v>
          </cell>
          <cell r="N308">
            <v>16</v>
          </cell>
          <cell r="O308">
            <v>564.38</v>
          </cell>
        </row>
        <row r="309">
          <cell r="A309" t="str">
            <v>PDV_432025/6</v>
          </cell>
          <cell r="B309">
            <v>45809</v>
          </cell>
          <cell r="C309" t="str">
            <v>PDV_43</v>
          </cell>
          <cell r="D309" t="str">
            <v>MG</v>
          </cell>
          <cell r="E309">
            <v>39</v>
          </cell>
          <cell r="F309">
            <v>19</v>
          </cell>
          <cell r="G309">
            <v>2620.8000000000002</v>
          </cell>
          <cell r="H309">
            <v>19502.439999999999</v>
          </cell>
          <cell r="I309">
            <v>8949.25</v>
          </cell>
          <cell r="J309">
            <v>10521.54</v>
          </cell>
          <cell r="K309">
            <v>100</v>
          </cell>
          <cell r="L309">
            <v>15.97</v>
          </cell>
          <cell r="M309">
            <v>0.55000000000000004</v>
          </cell>
          <cell r="N309">
            <v>5</v>
          </cell>
          <cell r="O309">
            <v>744.14</v>
          </cell>
        </row>
        <row r="310">
          <cell r="A310" t="str">
            <v>PDV_442025/6</v>
          </cell>
          <cell r="B310">
            <v>45809</v>
          </cell>
          <cell r="C310" t="str">
            <v>PDV_44</v>
          </cell>
          <cell r="D310" t="str">
            <v>RS</v>
          </cell>
          <cell r="E310">
            <v>32</v>
          </cell>
          <cell r="F310">
            <v>19</v>
          </cell>
          <cell r="G310">
            <v>2871.86</v>
          </cell>
          <cell r="H310">
            <v>18533.05</v>
          </cell>
          <cell r="I310">
            <v>10431.030000000001</v>
          </cell>
          <cell r="J310">
            <v>8050.28</v>
          </cell>
          <cell r="K310">
            <v>100</v>
          </cell>
          <cell r="L310">
            <v>15.97</v>
          </cell>
          <cell r="M310">
            <v>0.55000000000000004</v>
          </cell>
          <cell r="N310">
            <v>9</v>
          </cell>
          <cell r="O310">
            <v>645.33000000000004</v>
          </cell>
        </row>
        <row r="311">
          <cell r="A311" t="str">
            <v>PDV_452025/6</v>
          </cell>
          <cell r="B311">
            <v>45809</v>
          </cell>
          <cell r="C311" t="str">
            <v>PDV_45</v>
          </cell>
          <cell r="D311" t="str">
            <v>PE</v>
          </cell>
          <cell r="E311">
            <v>35</v>
          </cell>
          <cell r="F311">
            <v>19</v>
          </cell>
          <cell r="G311">
            <v>2657.99</v>
          </cell>
          <cell r="H311">
            <v>21648.07</v>
          </cell>
          <cell r="I311">
            <v>15516.4</v>
          </cell>
          <cell r="J311">
            <v>6401.9</v>
          </cell>
          <cell r="K311">
            <v>100</v>
          </cell>
          <cell r="L311">
            <v>15.97</v>
          </cell>
          <cell r="M311">
            <v>0.55000000000000004</v>
          </cell>
          <cell r="N311">
            <v>9</v>
          </cell>
          <cell r="O311">
            <v>814.45</v>
          </cell>
        </row>
        <row r="312">
          <cell r="A312" t="str">
            <v>PDV_462025/6</v>
          </cell>
          <cell r="B312">
            <v>45809</v>
          </cell>
          <cell r="C312" t="str">
            <v>PDV_46</v>
          </cell>
          <cell r="D312" t="str">
            <v>PE</v>
          </cell>
          <cell r="E312">
            <v>44</v>
          </cell>
          <cell r="F312">
            <v>19</v>
          </cell>
          <cell r="G312">
            <v>2602.5100000000002</v>
          </cell>
          <cell r="H312">
            <v>19871.53</v>
          </cell>
          <cell r="I312">
            <v>10409.92</v>
          </cell>
          <cell r="J312">
            <v>9574.59</v>
          </cell>
          <cell r="K312">
            <v>100</v>
          </cell>
          <cell r="L312">
            <v>15.97</v>
          </cell>
          <cell r="M312">
            <v>0.55000000000000004</v>
          </cell>
          <cell r="N312">
            <v>4</v>
          </cell>
          <cell r="O312">
            <v>763.55</v>
          </cell>
        </row>
        <row r="313">
          <cell r="A313" t="str">
            <v>PDV_472025/6</v>
          </cell>
          <cell r="B313">
            <v>45809</v>
          </cell>
          <cell r="C313" t="str">
            <v>PDV_47</v>
          </cell>
          <cell r="D313" t="str">
            <v>RJ</v>
          </cell>
          <cell r="E313">
            <v>50</v>
          </cell>
          <cell r="F313">
            <v>19</v>
          </cell>
          <cell r="G313">
            <v>2775.02</v>
          </cell>
          <cell r="H313">
            <v>18349.41</v>
          </cell>
          <cell r="I313">
            <v>9654.6299999999992</v>
          </cell>
          <cell r="J313">
            <v>8639.1299999999992</v>
          </cell>
          <cell r="K313">
            <v>100</v>
          </cell>
          <cell r="L313">
            <v>15.97</v>
          </cell>
          <cell r="M313">
            <v>0.55000000000000004</v>
          </cell>
          <cell r="N313">
            <v>2</v>
          </cell>
          <cell r="O313">
            <v>661.24</v>
          </cell>
        </row>
        <row r="314">
          <cell r="A314" t="str">
            <v>PDV_482025/6</v>
          </cell>
          <cell r="B314">
            <v>45809</v>
          </cell>
          <cell r="C314" t="str">
            <v>PDV_48</v>
          </cell>
          <cell r="D314" t="str">
            <v>DF</v>
          </cell>
          <cell r="E314">
            <v>43</v>
          </cell>
          <cell r="F314">
            <v>19</v>
          </cell>
          <cell r="G314">
            <v>2699.83</v>
          </cell>
          <cell r="H314">
            <v>17720.05</v>
          </cell>
          <cell r="I314">
            <v>8956.58</v>
          </cell>
          <cell r="J314">
            <v>8858.6299999999992</v>
          </cell>
          <cell r="L314">
            <v>15.97</v>
          </cell>
          <cell r="M314">
            <v>0.55000000000000004</v>
          </cell>
          <cell r="N314">
            <v>6</v>
          </cell>
          <cell r="O314">
            <v>656.34</v>
          </cell>
        </row>
        <row r="315">
          <cell r="A315" t="str">
            <v>PDV_492025/6</v>
          </cell>
          <cell r="B315">
            <v>45809</v>
          </cell>
          <cell r="C315" t="str">
            <v>PDV_49</v>
          </cell>
          <cell r="D315" t="str">
            <v>MG</v>
          </cell>
          <cell r="E315">
            <v>49</v>
          </cell>
          <cell r="F315">
            <v>19</v>
          </cell>
          <cell r="G315">
            <v>2590.64</v>
          </cell>
          <cell r="H315">
            <v>19158.009999999998</v>
          </cell>
          <cell r="I315">
            <v>12355.9</v>
          </cell>
          <cell r="J315">
            <v>6846.76</v>
          </cell>
          <cell r="K315">
            <v>100</v>
          </cell>
          <cell r="L315">
            <v>15.97</v>
          </cell>
          <cell r="M315">
            <v>0.55000000000000004</v>
          </cell>
          <cell r="N315">
            <v>17</v>
          </cell>
          <cell r="O315">
            <v>739.51</v>
          </cell>
        </row>
        <row r="316">
          <cell r="A316" t="str">
            <v>PDV_502025/6</v>
          </cell>
          <cell r="B316">
            <v>45809</v>
          </cell>
          <cell r="C316" t="str">
            <v>PDV_50</v>
          </cell>
          <cell r="D316" t="str">
            <v>RJ</v>
          </cell>
          <cell r="E316">
            <v>23</v>
          </cell>
          <cell r="F316">
            <v>19</v>
          </cell>
          <cell r="G316">
            <v>2403.1999999999998</v>
          </cell>
          <cell r="H316">
            <v>20983.19</v>
          </cell>
          <cell r="I316">
            <v>13311.05</v>
          </cell>
          <cell r="J316">
            <v>7632.08</v>
          </cell>
          <cell r="K316">
            <v>100</v>
          </cell>
          <cell r="L316">
            <v>15.97</v>
          </cell>
          <cell r="M316">
            <v>0.55000000000000004</v>
          </cell>
          <cell r="N316">
            <v>19</v>
          </cell>
          <cell r="O316">
            <v>873.13</v>
          </cell>
        </row>
        <row r="317">
          <cell r="A317" t="str">
            <v>PDV_512025/6</v>
          </cell>
          <cell r="B317">
            <v>45809</v>
          </cell>
          <cell r="C317" t="str">
            <v>PDV_51</v>
          </cell>
          <cell r="D317" t="str">
            <v>MG</v>
          </cell>
          <cell r="E317">
            <v>5</v>
          </cell>
          <cell r="F317">
            <v>19</v>
          </cell>
          <cell r="G317">
            <v>2514.69</v>
          </cell>
          <cell r="H317">
            <v>21243.11</v>
          </cell>
          <cell r="I317">
            <v>13981.44</v>
          </cell>
          <cell r="J317">
            <v>7336.98</v>
          </cell>
          <cell r="K317">
            <v>100</v>
          </cell>
          <cell r="L317">
            <v>15.97</v>
          </cell>
          <cell r="M317">
            <v>0.55000000000000004</v>
          </cell>
          <cell r="N317">
            <v>12</v>
          </cell>
          <cell r="O317">
            <v>844.76</v>
          </cell>
        </row>
        <row r="318">
          <cell r="A318" t="str">
            <v>PDV_522025/6</v>
          </cell>
          <cell r="B318">
            <v>45809</v>
          </cell>
          <cell r="C318" t="str">
            <v>PDV_52</v>
          </cell>
          <cell r="D318" t="str">
            <v>RJ</v>
          </cell>
          <cell r="E318">
            <v>39</v>
          </cell>
          <cell r="F318">
            <v>19</v>
          </cell>
          <cell r="G318">
            <v>2736.83</v>
          </cell>
          <cell r="H318">
            <v>25707.9</v>
          </cell>
          <cell r="I318">
            <v>21324.95</v>
          </cell>
          <cell r="J318">
            <v>4519.54</v>
          </cell>
          <cell r="K318">
            <v>100</v>
          </cell>
          <cell r="L318">
            <v>15.97</v>
          </cell>
          <cell r="M318">
            <v>0.55000000000000004</v>
          </cell>
          <cell r="N318">
            <v>15</v>
          </cell>
          <cell r="O318">
            <v>939.33</v>
          </cell>
        </row>
        <row r="319">
          <cell r="A319" t="str">
            <v>PDV_532025/6</v>
          </cell>
          <cell r="B319">
            <v>45809</v>
          </cell>
          <cell r="C319" t="str">
            <v>PDV_53</v>
          </cell>
          <cell r="D319" t="str">
            <v>SP</v>
          </cell>
          <cell r="E319">
            <v>15</v>
          </cell>
          <cell r="F319">
            <v>19</v>
          </cell>
          <cell r="G319">
            <v>2551.36</v>
          </cell>
          <cell r="H319">
            <v>19317.14</v>
          </cell>
          <cell r="I319">
            <v>12823.86</v>
          </cell>
          <cell r="J319">
            <v>6738.25</v>
          </cell>
          <cell r="K319">
            <v>100</v>
          </cell>
          <cell r="L319">
            <v>15.97</v>
          </cell>
          <cell r="M319">
            <v>0.55000000000000004</v>
          </cell>
          <cell r="N319">
            <v>8</v>
          </cell>
          <cell r="O319">
            <v>757.13</v>
          </cell>
        </row>
        <row r="320">
          <cell r="A320" t="str">
            <v>PDV_12025/7</v>
          </cell>
          <cell r="B320">
            <v>45839</v>
          </cell>
          <cell r="C320" t="str">
            <v>PDV_1</v>
          </cell>
          <cell r="D320" t="str">
            <v>BA</v>
          </cell>
          <cell r="E320">
            <v>13</v>
          </cell>
          <cell r="F320">
            <v>21</v>
          </cell>
          <cell r="G320">
            <v>2661.79</v>
          </cell>
          <cell r="H320">
            <v>34613.519999999997</v>
          </cell>
          <cell r="I320">
            <v>28061.09</v>
          </cell>
          <cell r="J320">
            <v>6489.23</v>
          </cell>
          <cell r="K320">
            <v>100</v>
          </cell>
          <cell r="L320">
            <v>14.4</v>
          </cell>
          <cell r="M320">
            <v>1.0900000000000001</v>
          </cell>
          <cell r="N320">
            <v>4</v>
          </cell>
          <cell r="O320">
            <v>1300.3900000000001</v>
          </cell>
        </row>
        <row r="321">
          <cell r="A321" t="str">
            <v>PDV_22025/7</v>
          </cell>
          <cell r="B321">
            <v>45839</v>
          </cell>
          <cell r="C321" t="str">
            <v>PDV_2</v>
          </cell>
          <cell r="D321" t="str">
            <v>MG</v>
          </cell>
          <cell r="E321">
            <v>29</v>
          </cell>
          <cell r="F321">
            <v>21</v>
          </cell>
          <cell r="G321">
            <v>2578.15</v>
          </cell>
          <cell r="H321">
            <v>14730.39</v>
          </cell>
          <cell r="I321">
            <v>12723.07</v>
          </cell>
          <cell r="J321">
            <v>2025.35</v>
          </cell>
          <cell r="L321">
            <v>14.4</v>
          </cell>
          <cell r="M321">
            <v>1.0900000000000001</v>
          </cell>
          <cell r="N321">
            <v>9</v>
          </cell>
          <cell r="O321">
            <v>571.36</v>
          </cell>
        </row>
        <row r="322">
          <cell r="A322" t="str">
            <v>PDV_32025/7</v>
          </cell>
          <cell r="B322">
            <v>45839</v>
          </cell>
          <cell r="C322" t="str">
            <v>PDV_3</v>
          </cell>
          <cell r="D322" t="str">
            <v>PE</v>
          </cell>
          <cell r="E322">
            <v>8</v>
          </cell>
          <cell r="F322">
            <v>21</v>
          </cell>
          <cell r="G322">
            <v>2537.44</v>
          </cell>
          <cell r="H322">
            <v>23751.119999999999</v>
          </cell>
          <cell r="I322">
            <v>20324.34</v>
          </cell>
          <cell r="J322">
            <v>3495.37</v>
          </cell>
          <cell r="K322">
            <v>100</v>
          </cell>
          <cell r="L322">
            <v>14.4</v>
          </cell>
          <cell r="M322">
            <v>1.0900000000000001</v>
          </cell>
          <cell r="N322">
            <v>19</v>
          </cell>
          <cell r="O322">
            <v>936.03</v>
          </cell>
        </row>
        <row r="323">
          <cell r="A323" t="str">
            <v>PDV_42025/7</v>
          </cell>
          <cell r="B323">
            <v>45839</v>
          </cell>
          <cell r="C323" t="str">
            <v>PDV_4</v>
          </cell>
          <cell r="D323" t="str">
            <v>SP</v>
          </cell>
          <cell r="E323">
            <v>44</v>
          </cell>
          <cell r="F323">
            <v>21</v>
          </cell>
          <cell r="G323">
            <v>2652.26</v>
          </cell>
          <cell r="H323">
            <v>20875.43</v>
          </cell>
          <cell r="I323">
            <v>16540.310000000001</v>
          </cell>
          <cell r="J323">
            <v>4384.1099999999997</v>
          </cell>
          <cell r="K323">
            <v>100</v>
          </cell>
          <cell r="L323">
            <v>14.4</v>
          </cell>
          <cell r="M323">
            <v>1.0900000000000001</v>
          </cell>
          <cell r="N323">
            <v>11</v>
          </cell>
          <cell r="O323">
            <v>787.08</v>
          </cell>
        </row>
        <row r="324">
          <cell r="A324" t="str">
            <v>PDV_52025/7</v>
          </cell>
          <cell r="B324">
            <v>45839</v>
          </cell>
          <cell r="C324" t="str">
            <v>PDV_5</v>
          </cell>
          <cell r="D324" t="str">
            <v>PE</v>
          </cell>
          <cell r="E324">
            <v>28</v>
          </cell>
          <cell r="F324">
            <v>21</v>
          </cell>
          <cell r="G324">
            <v>2843.93</v>
          </cell>
          <cell r="H324">
            <v>18779.7</v>
          </cell>
          <cell r="I324">
            <v>13399.57</v>
          </cell>
          <cell r="J324">
            <v>5291.65</v>
          </cell>
          <cell r="K324">
            <v>100</v>
          </cell>
          <cell r="L324">
            <v>14.4</v>
          </cell>
          <cell r="M324">
            <v>1.0900000000000001</v>
          </cell>
          <cell r="N324">
            <v>15</v>
          </cell>
          <cell r="O324">
            <v>660.34</v>
          </cell>
        </row>
        <row r="325">
          <cell r="A325" t="str">
            <v>PDV_62025/7</v>
          </cell>
          <cell r="B325">
            <v>45839</v>
          </cell>
          <cell r="C325" t="str">
            <v>PDV_6</v>
          </cell>
          <cell r="D325" t="str">
            <v>RS</v>
          </cell>
          <cell r="E325">
            <v>20</v>
          </cell>
          <cell r="F325">
            <v>21</v>
          </cell>
          <cell r="G325">
            <v>2851.74</v>
          </cell>
          <cell r="H325">
            <v>15894.02</v>
          </cell>
          <cell r="I325">
            <v>13406.14</v>
          </cell>
          <cell r="J325">
            <v>2566.9</v>
          </cell>
          <cell r="L325">
            <v>14.4</v>
          </cell>
          <cell r="M325">
            <v>1.0900000000000001</v>
          </cell>
          <cell r="N325">
            <v>17</v>
          </cell>
          <cell r="O325">
            <v>557.35</v>
          </cell>
        </row>
        <row r="326">
          <cell r="A326" t="str">
            <v>PDV_72025/7</v>
          </cell>
          <cell r="B326">
            <v>45839</v>
          </cell>
          <cell r="C326" t="str">
            <v>PDV_7</v>
          </cell>
          <cell r="D326" t="str">
            <v>RJ</v>
          </cell>
          <cell r="E326">
            <v>15</v>
          </cell>
          <cell r="F326">
            <v>21</v>
          </cell>
          <cell r="G326">
            <v>2601.56</v>
          </cell>
          <cell r="H326">
            <v>21264.32</v>
          </cell>
          <cell r="I326">
            <v>16923.95</v>
          </cell>
          <cell r="J326">
            <v>4367.25</v>
          </cell>
          <cell r="L326">
            <v>14.4</v>
          </cell>
          <cell r="M326">
            <v>1.0900000000000001</v>
          </cell>
          <cell r="N326">
            <v>16</v>
          </cell>
          <cell r="O326">
            <v>817.37</v>
          </cell>
        </row>
        <row r="327">
          <cell r="A327" t="str">
            <v>PDV_82025/7</v>
          </cell>
          <cell r="B327">
            <v>45839</v>
          </cell>
          <cell r="C327" t="str">
            <v>PDV_8</v>
          </cell>
          <cell r="D327" t="str">
            <v>SP</v>
          </cell>
          <cell r="E327">
            <v>35</v>
          </cell>
          <cell r="F327">
            <v>21</v>
          </cell>
          <cell r="G327">
            <v>2378.25</v>
          </cell>
          <cell r="H327">
            <v>13332.63</v>
          </cell>
          <cell r="I327">
            <v>10046.530000000001</v>
          </cell>
          <cell r="J327">
            <v>3204.33</v>
          </cell>
          <cell r="K327">
            <v>100</v>
          </cell>
          <cell r="L327">
            <v>14.4</v>
          </cell>
          <cell r="M327">
            <v>1.0900000000000001</v>
          </cell>
          <cell r="N327">
            <v>19</v>
          </cell>
          <cell r="O327">
            <v>560.61</v>
          </cell>
        </row>
        <row r="328">
          <cell r="A328" t="str">
            <v>PDV_92025/7</v>
          </cell>
          <cell r="B328">
            <v>45839</v>
          </cell>
          <cell r="C328" t="str">
            <v>PDV_9</v>
          </cell>
          <cell r="D328" t="str">
            <v>DF</v>
          </cell>
          <cell r="E328">
            <v>39</v>
          </cell>
          <cell r="F328">
            <v>21</v>
          </cell>
          <cell r="G328">
            <v>2909.32</v>
          </cell>
          <cell r="H328">
            <v>29005.81</v>
          </cell>
          <cell r="I328">
            <v>16013.92</v>
          </cell>
          <cell r="K328">
            <v>100</v>
          </cell>
          <cell r="L328">
            <v>14.4</v>
          </cell>
          <cell r="M328">
            <v>1.0900000000000001</v>
          </cell>
          <cell r="N328">
            <v>17</v>
          </cell>
          <cell r="O328">
            <v>997</v>
          </cell>
        </row>
        <row r="329">
          <cell r="A329" t="str">
            <v>PDV_102025/7</v>
          </cell>
          <cell r="B329">
            <v>45839</v>
          </cell>
          <cell r="C329" t="str">
            <v>PDV_10</v>
          </cell>
          <cell r="D329" t="str">
            <v>SP</v>
          </cell>
          <cell r="E329">
            <v>7</v>
          </cell>
          <cell r="F329">
            <v>21</v>
          </cell>
          <cell r="G329">
            <v>2693.64</v>
          </cell>
          <cell r="H329">
            <v>31500.799999999999</v>
          </cell>
          <cell r="I329">
            <v>24445.31</v>
          </cell>
          <cell r="J329">
            <v>7034.92</v>
          </cell>
          <cell r="K329">
            <v>100</v>
          </cell>
          <cell r="L329">
            <v>14.4</v>
          </cell>
          <cell r="M329">
            <v>1.0900000000000001</v>
          </cell>
          <cell r="N329">
            <v>6</v>
          </cell>
          <cell r="O329">
            <v>1169.45</v>
          </cell>
        </row>
        <row r="330">
          <cell r="A330" t="str">
            <v>PDV_112025/7</v>
          </cell>
          <cell r="B330">
            <v>45839</v>
          </cell>
          <cell r="C330" t="str">
            <v>PDV_11</v>
          </cell>
          <cell r="D330" t="str">
            <v>PE</v>
          </cell>
          <cell r="E330">
            <v>39</v>
          </cell>
          <cell r="F330">
            <v>21</v>
          </cell>
          <cell r="G330">
            <v>2285.8000000000002</v>
          </cell>
          <cell r="H330">
            <v>20866.2</v>
          </cell>
          <cell r="I330">
            <v>17023.34</v>
          </cell>
          <cell r="J330">
            <v>3839.87</v>
          </cell>
          <cell r="K330">
            <v>100</v>
          </cell>
          <cell r="L330">
            <v>14.4</v>
          </cell>
          <cell r="M330">
            <v>1.0900000000000001</v>
          </cell>
          <cell r="N330">
            <v>12</v>
          </cell>
          <cell r="O330">
            <v>912.86</v>
          </cell>
        </row>
        <row r="331">
          <cell r="A331" t="str">
            <v>PDV_122025/7</v>
          </cell>
          <cell r="B331">
            <v>45839</v>
          </cell>
          <cell r="C331" t="str">
            <v>PDV_12</v>
          </cell>
          <cell r="D331" t="str">
            <v>BA</v>
          </cell>
          <cell r="E331">
            <v>19</v>
          </cell>
          <cell r="F331">
            <v>21</v>
          </cell>
          <cell r="G331">
            <v>2751.13</v>
          </cell>
          <cell r="H331">
            <v>28402.32</v>
          </cell>
          <cell r="I331">
            <v>23476.98</v>
          </cell>
          <cell r="J331">
            <v>4982.2</v>
          </cell>
          <cell r="K331">
            <v>100</v>
          </cell>
          <cell r="L331">
            <v>14.4</v>
          </cell>
          <cell r="M331">
            <v>1.0900000000000001</v>
          </cell>
          <cell r="N331">
            <v>1</v>
          </cell>
          <cell r="O331">
            <v>1032.3900000000001</v>
          </cell>
        </row>
        <row r="332">
          <cell r="A332" t="str">
            <v>PDV_132025/7</v>
          </cell>
          <cell r="B332">
            <v>45839</v>
          </cell>
          <cell r="C332" t="str">
            <v>PDV_13</v>
          </cell>
          <cell r="D332" t="str">
            <v>RJ</v>
          </cell>
          <cell r="E332">
            <v>39</v>
          </cell>
          <cell r="F332">
            <v>21</v>
          </cell>
          <cell r="G332">
            <v>2680.38</v>
          </cell>
          <cell r="H332">
            <v>26469.27</v>
          </cell>
          <cell r="I332">
            <v>21140.01</v>
          </cell>
          <cell r="J332">
            <v>5126.6499999999996</v>
          </cell>
          <cell r="K332">
            <v>100</v>
          </cell>
          <cell r="L332">
            <v>14.4</v>
          </cell>
          <cell r="M332">
            <v>1.0900000000000001</v>
          </cell>
          <cell r="N332">
            <v>9</v>
          </cell>
          <cell r="O332">
            <v>987.52</v>
          </cell>
        </row>
        <row r="333">
          <cell r="A333" t="str">
            <v>PDV_142025/7</v>
          </cell>
          <cell r="B333">
            <v>45839</v>
          </cell>
          <cell r="C333" t="str">
            <v>PDV_14</v>
          </cell>
          <cell r="D333" t="str">
            <v>MG</v>
          </cell>
          <cell r="E333">
            <v>29</v>
          </cell>
          <cell r="F333">
            <v>21</v>
          </cell>
          <cell r="G333">
            <v>2369.06</v>
          </cell>
          <cell r="H333">
            <v>21449.84</v>
          </cell>
          <cell r="I333">
            <v>13515.52</v>
          </cell>
          <cell r="J333">
            <v>7979.9</v>
          </cell>
          <cell r="K333">
            <v>100</v>
          </cell>
          <cell r="L333">
            <v>14.4</v>
          </cell>
          <cell r="M333">
            <v>1.0900000000000001</v>
          </cell>
          <cell r="N333">
            <v>5</v>
          </cell>
          <cell r="O333">
            <v>905.41</v>
          </cell>
        </row>
        <row r="334">
          <cell r="A334" t="str">
            <v>PDV_152025/7</v>
          </cell>
          <cell r="B334">
            <v>45839</v>
          </cell>
          <cell r="C334" t="str">
            <v>PDV_15</v>
          </cell>
          <cell r="D334" t="str">
            <v>PR</v>
          </cell>
          <cell r="E334">
            <v>20</v>
          </cell>
          <cell r="F334">
            <v>21</v>
          </cell>
          <cell r="G334">
            <v>2726.69</v>
          </cell>
          <cell r="H334">
            <v>27518.11</v>
          </cell>
          <cell r="I334">
            <v>16239.9</v>
          </cell>
          <cell r="J334">
            <v>11465.25</v>
          </cell>
          <cell r="K334">
            <v>100</v>
          </cell>
          <cell r="L334">
            <v>14.4</v>
          </cell>
          <cell r="M334">
            <v>1.0900000000000001</v>
          </cell>
          <cell r="N334">
            <v>14</v>
          </cell>
          <cell r="O334">
            <v>1009.21</v>
          </cell>
        </row>
        <row r="335">
          <cell r="A335" t="str">
            <v>PDV_162025/7</v>
          </cell>
          <cell r="B335">
            <v>45839</v>
          </cell>
          <cell r="C335" t="str">
            <v>PDV_16</v>
          </cell>
          <cell r="D335" t="str">
            <v>RJ</v>
          </cell>
          <cell r="E335">
            <v>41</v>
          </cell>
          <cell r="F335">
            <v>21</v>
          </cell>
          <cell r="G335">
            <v>2486.35</v>
          </cell>
          <cell r="H335">
            <v>14171.17</v>
          </cell>
          <cell r="I335">
            <v>7996.55</v>
          </cell>
          <cell r="J335">
            <v>6275.25</v>
          </cell>
          <cell r="K335">
            <v>100</v>
          </cell>
          <cell r="L335">
            <v>14.4</v>
          </cell>
          <cell r="M335">
            <v>1.0900000000000001</v>
          </cell>
          <cell r="N335">
            <v>5</v>
          </cell>
          <cell r="O335">
            <v>569.96</v>
          </cell>
        </row>
        <row r="336">
          <cell r="A336" t="str">
            <v>PDV_172025/7</v>
          </cell>
          <cell r="B336">
            <v>45839</v>
          </cell>
          <cell r="C336" t="str">
            <v>PDV_17</v>
          </cell>
          <cell r="D336" t="str">
            <v>DF</v>
          </cell>
          <cell r="E336">
            <v>48</v>
          </cell>
          <cell r="F336">
            <v>21</v>
          </cell>
          <cell r="G336">
            <v>2694.01</v>
          </cell>
          <cell r="H336">
            <v>19304.099999999999</v>
          </cell>
          <cell r="I336">
            <v>13521.73</v>
          </cell>
          <cell r="J336">
            <v>5927.45</v>
          </cell>
          <cell r="K336">
            <v>100</v>
          </cell>
          <cell r="L336">
            <v>14.4</v>
          </cell>
          <cell r="M336">
            <v>1.0900000000000001</v>
          </cell>
          <cell r="N336">
            <v>2</v>
          </cell>
          <cell r="O336">
            <v>716.56</v>
          </cell>
        </row>
        <row r="337">
          <cell r="A337" t="str">
            <v>PDV_182025/7</v>
          </cell>
          <cell r="B337">
            <v>45839</v>
          </cell>
          <cell r="C337" t="str">
            <v>PDV_18</v>
          </cell>
          <cell r="D337" t="str">
            <v>MG</v>
          </cell>
          <cell r="E337">
            <v>21</v>
          </cell>
          <cell r="F337">
            <v>21</v>
          </cell>
          <cell r="G337">
            <v>2623.4</v>
          </cell>
          <cell r="H337">
            <v>22367.61</v>
          </cell>
          <cell r="I337">
            <v>16326.62</v>
          </cell>
          <cell r="J337">
            <v>5716.94</v>
          </cell>
          <cell r="K337">
            <v>100</v>
          </cell>
          <cell r="L337">
            <v>14.4</v>
          </cell>
          <cell r="M337">
            <v>1.0900000000000001</v>
          </cell>
          <cell r="N337">
            <v>5</v>
          </cell>
          <cell r="O337">
            <v>852.62</v>
          </cell>
        </row>
        <row r="338">
          <cell r="A338" t="str">
            <v>PDV_192025/7</v>
          </cell>
          <cell r="B338">
            <v>45839</v>
          </cell>
          <cell r="C338" t="str">
            <v>PDV_19</v>
          </cell>
          <cell r="D338" t="str">
            <v>SP</v>
          </cell>
          <cell r="E338">
            <v>14</v>
          </cell>
          <cell r="F338">
            <v>21</v>
          </cell>
          <cell r="G338">
            <v>2673.98</v>
          </cell>
          <cell r="H338">
            <v>28740.9</v>
          </cell>
          <cell r="I338">
            <v>19450.259999999998</v>
          </cell>
          <cell r="J338">
            <v>9405.6200000000008</v>
          </cell>
          <cell r="K338">
            <v>100</v>
          </cell>
          <cell r="L338">
            <v>14.4</v>
          </cell>
          <cell r="M338">
            <v>1.0900000000000001</v>
          </cell>
          <cell r="N338">
            <v>14</v>
          </cell>
          <cell r="O338">
            <v>1074.8399999999999</v>
          </cell>
        </row>
        <row r="339">
          <cell r="A339" t="str">
            <v>PDV_202025/7</v>
          </cell>
          <cell r="B339">
            <v>45839</v>
          </cell>
          <cell r="C339" t="str">
            <v>PDV_20</v>
          </cell>
          <cell r="D339" t="str">
            <v>PE</v>
          </cell>
          <cell r="E339">
            <v>34</v>
          </cell>
          <cell r="F339">
            <v>21</v>
          </cell>
          <cell r="G339">
            <v>2703.56</v>
          </cell>
          <cell r="H339">
            <v>33557.129999999997</v>
          </cell>
          <cell r="I339">
            <v>20724.86</v>
          </cell>
          <cell r="J339">
            <v>12648.37</v>
          </cell>
          <cell r="K339">
            <v>100</v>
          </cell>
          <cell r="L339">
            <v>14.4</v>
          </cell>
          <cell r="M339">
            <v>1.0900000000000001</v>
          </cell>
          <cell r="N339">
            <v>18</v>
          </cell>
          <cell r="O339">
            <v>1241.22</v>
          </cell>
        </row>
        <row r="340">
          <cell r="A340" t="str">
            <v>PDV_212025/7</v>
          </cell>
          <cell r="B340">
            <v>45839</v>
          </cell>
          <cell r="C340" t="str">
            <v>PDV_21</v>
          </cell>
          <cell r="D340" t="str">
            <v>SP</v>
          </cell>
          <cell r="E340">
            <v>27</v>
          </cell>
          <cell r="F340">
            <v>21</v>
          </cell>
          <cell r="G340">
            <v>2490.4499999999998</v>
          </cell>
          <cell r="H340">
            <v>23774.28</v>
          </cell>
          <cell r="I340">
            <v>15232.06</v>
          </cell>
          <cell r="J340">
            <v>8358.59</v>
          </cell>
          <cell r="K340">
            <v>100</v>
          </cell>
          <cell r="L340">
            <v>14.4</v>
          </cell>
          <cell r="M340">
            <v>1.0900000000000001</v>
          </cell>
          <cell r="N340">
            <v>4</v>
          </cell>
          <cell r="O340">
            <v>954.62</v>
          </cell>
        </row>
        <row r="341">
          <cell r="A341" t="str">
            <v>PDV_222025/7</v>
          </cell>
          <cell r="B341">
            <v>45839</v>
          </cell>
          <cell r="C341" t="str">
            <v>PDV_22</v>
          </cell>
          <cell r="D341" t="str">
            <v>RS</v>
          </cell>
          <cell r="E341">
            <v>7</v>
          </cell>
          <cell r="F341">
            <v>21</v>
          </cell>
          <cell r="G341">
            <v>2560.4</v>
          </cell>
          <cell r="H341">
            <v>20949.189999999999</v>
          </cell>
          <cell r="I341">
            <v>12058.17</v>
          </cell>
          <cell r="J341">
            <v>8888.5300000000007</v>
          </cell>
          <cell r="K341">
            <v>100</v>
          </cell>
          <cell r="L341">
            <v>14.4</v>
          </cell>
          <cell r="M341">
            <v>1.0900000000000001</v>
          </cell>
          <cell r="N341">
            <v>1</v>
          </cell>
          <cell r="O341">
            <v>818.2</v>
          </cell>
        </row>
        <row r="342">
          <cell r="A342" t="str">
            <v>PDV_232025/7</v>
          </cell>
          <cell r="B342">
            <v>45839</v>
          </cell>
          <cell r="C342" t="str">
            <v>PDV_23</v>
          </cell>
          <cell r="D342" t="str">
            <v>RJ</v>
          </cell>
          <cell r="E342">
            <v>32</v>
          </cell>
          <cell r="F342">
            <v>21</v>
          </cell>
          <cell r="G342">
            <v>2658.78</v>
          </cell>
          <cell r="H342">
            <v>26827.58</v>
          </cell>
          <cell r="I342">
            <v>11697.13</v>
          </cell>
          <cell r="J342">
            <v>14991.71</v>
          </cell>
          <cell r="K342">
            <v>100</v>
          </cell>
          <cell r="L342">
            <v>14.4</v>
          </cell>
          <cell r="M342">
            <v>1.0900000000000001</v>
          </cell>
          <cell r="N342">
            <v>12</v>
          </cell>
          <cell r="O342">
            <v>1009.02</v>
          </cell>
        </row>
        <row r="343">
          <cell r="A343" t="str">
            <v>PDV_242025/7</v>
          </cell>
          <cell r="B343">
            <v>45839</v>
          </cell>
          <cell r="C343" t="str">
            <v>PDV_24</v>
          </cell>
          <cell r="D343" t="str">
            <v>PE</v>
          </cell>
          <cell r="E343">
            <v>49</v>
          </cell>
          <cell r="F343">
            <v>21</v>
          </cell>
          <cell r="G343">
            <v>2680.32</v>
          </cell>
          <cell r="H343">
            <v>19225.53</v>
          </cell>
          <cell r="I343">
            <v>9335.15</v>
          </cell>
          <cell r="J343">
            <v>9963.4699999999993</v>
          </cell>
          <cell r="K343">
            <v>100</v>
          </cell>
          <cell r="L343">
            <v>14.4</v>
          </cell>
          <cell r="M343">
            <v>1.0900000000000001</v>
          </cell>
          <cell r="N343">
            <v>3</v>
          </cell>
          <cell r="O343">
            <v>717.29</v>
          </cell>
        </row>
        <row r="344">
          <cell r="A344" t="str">
            <v>PDV_252025/7</v>
          </cell>
          <cell r="B344">
            <v>45839</v>
          </cell>
          <cell r="C344" t="str">
            <v>PDV_25</v>
          </cell>
          <cell r="D344" t="str">
            <v>PE</v>
          </cell>
          <cell r="E344">
            <v>9</v>
          </cell>
          <cell r="F344">
            <v>21</v>
          </cell>
          <cell r="G344">
            <v>2770.06</v>
          </cell>
          <cell r="H344">
            <v>25114.41</v>
          </cell>
          <cell r="I344">
            <v>14562.92</v>
          </cell>
          <cell r="J344">
            <v>10727.81</v>
          </cell>
          <cell r="K344">
            <v>100</v>
          </cell>
          <cell r="L344">
            <v>14.4</v>
          </cell>
          <cell r="M344">
            <v>1.0900000000000001</v>
          </cell>
          <cell r="N344">
            <v>1</v>
          </cell>
          <cell r="O344">
            <v>906.64</v>
          </cell>
        </row>
        <row r="345">
          <cell r="A345" t="str">
            <v>PDV_262025/7</v>
          </cell>
          <cell r="B345">
            <v>45839</v>
          </cell>
          <cell r="C345" t="str">
            <v>PDV_26</v>
          </cell>
          <cell r="D345" t="str">
            <v>SP</v>
          </cell>
          <cell r="E345">
            <v>36</v>
          </cell>
          <cell r="F345">
            <v>21</v>
          </cell>
          <cell r="G345">
            <v>2368.5700000000002</v>
          </cell>
          <cell r="H345">
            <v>26994.78</v>
          </cell>
          <cell r="I345">
            <v>17187.919999999998</v>
          </cell>
          <cell r="J345">
            <v>9781.5400000000009</v>
          </cell>
          <cell r="K345">
            <v>100</v>
          </cell>
          <cell r="L345">
            <v>14.4</v>
          </cell>
          <cell r="M345">
            <v>1.0900000000000001</v>
          </cell>
          <cell r="N345">
            <v>14</v>
          </cell>
          <cell r="O345">
            <v>1139.71</v>
          </cell>
        </row>
        <row r="346">
          <cell r="A346" t="str">
            <v>PDV_272025/7</v>
          </cell>
          <cell r="B346">
            <v>45839</v>
          </cell>
          <cell r="C346" t="str">
            <v>PDV_27</v>
          </cell>
          <cell r="D346" t="str">
            <v>RS</v>
          </cell>
          <cell r="E346">
            <v>6</v>
          </cell>
          <cell r="F346">
            <v>21</v>
          </cell>
          <cell r="G346">
            <v>2494.54</v>
          </cell>
          <cell r="H346">
            <v>30058.22</v>
          </cell>
          <cell r="I346">
            <v>17827.93</v>
          </cell>
          <cell r="J346">
            <v>12191.19</v>
          </cell>
          <cell r="K346">
            <v>100</v>
          </cell>
          <cell r="L346">
            <v>14.4</v>
          </cell>
          <cell r="M346">
            <v>1.0900000000000001</v>
          </cell>
          <cell r="N346">
            <v>2</v>
          </cell>
          <cell r="O346">
            <v>1204.96</v>
          </cell>
        </row>
        <row r="347">
          <cell r="A347" t="str">
            <v>PDV_282025/7</v>
          </cell>
          <cell r="B347">
            <v>45839</v>
          </cell>
          <cell r="C347" t="str">
            <v>PDV_28</v>
          </cell>
          <cell r="D347" t="str">
            <v>SP</v>
          </cell>
          <cell r="E347">
            <v>18</v>
          </cell>
          <cell r="F347">
            <v>21</v>
          </cell>
          <cell r="G347">
            <v>2738.05</v>
          </cell>
          <cell r="H347">
            <v>21892.77</v>
          </cell>
          <cell r="I347">
            <v>14837.64</v>
          </cell>
          <cell r="J347">
            <v>7075.89</v>
          </cell>
          <cell r="K347">
            <v>100</v>
          </cell>
          <cell r="L347">
            <v>14.4</v>
          </cell>
          <cell r="M347">
            <v>1.0900000000000001</v>
          </cell>
          <cell r="N347">
            <v>1</v>
          </cell>
          <cell r="O347">
            <v>799.58</v>
          </cell>
        </row>
        <row r="348">
          <cell r="A348" t="str">
            <v>PDV_292025/7</v>
          </cell>
          <cell r="B348">
            <v>45839</v>
          </cell>
          <cell r="C348" t="str">
            <v>PDV_29</v>
          </cell>
          <cell r="D348" t="str">
            <v>MG</v>
          </cell>
          <cell r="E348">
            <v>24</v>
          </cell>
          <cell r="F348">
            <v>21</v>
          </cell>
          <cell r="G348">
            <v>2660.27</v>
          </cell>
          <cell r="H348">
            <v>23743.53</v>
          </cell>
          <cell r="I348">
            <v>15535.05</v>
          </cell>
          <cell r="J348">
            <v>8165.01</v>
          </cell>
          <cell r="K348">
            <v>100</v>
          </cell>
          <cell r="L348">
            <v>14.4</v>
          </cell>
          <cell r="M348">
            <v>1.0900000000000001</v>
          </cell>
          <cell r="N348">
            <v>11</v>
          </cell>
          <cell r="O348">
            <v>892.52</v>
          </cell>
        </row>
        <row r="349">
          <cell r="A349" t="str">
            <v>PDV_302025/7</v>
          </cell>
          <cell r="B349">
            <v>45839</v>
          </cell>
          <cell r="C349" t="str">
            <v>PDV_30</v>
          </cell>
          <cell r="D349" t="str">
            <v>SP</v>
          </cell>
          <cell r="E349">
            <v>41</v>
          </cell>
          <cell r="F349">
            <v>21</v>
          </cell>
          <cell r="G349">
            <v>2790.2</v>
          </cell>
          <cell r="H349">
            <v>16980.12</v>
          </cell>
          <cell r="I349">
            <v>12816.93</v>
          </cell>
          <cell r="J349">
            <v>4006.16</v>
          </cell>
          <cell r="K349">
            <v>100</v>
          </cell>
          <cell r="L349">
            <v>14.4</v>
          </cell>
          <cell r="M349">
            <v>1.0900000000000001</v>
          </cell>
          <cell r="N349">
            <v>1</v>
          </cell>
          <cell r="O349">
            <v>608.55999999999995</v>
          </cell>
        </row>
        <row r="350">
          <cell r="A350" t="str">
            <v>PDV_312025/7</v>
          </cell>
          <cell r="B350">
            <v>45839</v>
          </cell>
          <cell r="C350" t="str">
            <v>PDV_31</v>
          </cell>
          <cell r="D350" t="str">
            <v>SP</v>
          </cell>
          <cell r="E350">
            <v>9</v>
          </cell>
          <cell r="F350">
            <v>21</v>
          </cell>
          <cell r="G350">
            <v>2968.95</v>
          </cell>
          <cell r="H350">
            <v>17191.27</v>
          </cell>
          <cell r="I350">
            <v>9497.81</v>
          </cell>
          <cell r="J350">
            <v>7768.36</v>
          </cell>
          <cell r="K350">
            <v>100</v>
          </cell>
          <cell r="L350">
            <v>14.4</v>
          </cell>
          <cell r="M350">
            <v>1.0900000000000001</v>
          </cell>
          <cell r="N350">
            <v>14</v>
          </cell>
          <cell r="O350">
            <v>579.04</v>
          </cell>
        </row>
        <row r="351">
          <cell r="A351" t="str">
            <v>PDV_322025/7</v>
          </cell>
          <cell r="B351">
            <v>45839</v>
          </cell>
          <cell r="C351" t="str">
            <v>PDV_32</v>
          </cell>
          <cell r="D351" t="str">
            <v>SP</v>
          </cell>
          <cell r="E351">
            <v>32</v>
          </cell>
          <cell r="F351">
            <v>21</v>
          </cell>
          <cell r="G351">
            <v>2775.08</v>
          </cell>
          <cell r="H351">
            <v>28776.240000000002</v>
          </cell>
          <cell r="I351">
            <v>21679.06</v>
          </cell>
          <cell r="J351">
            <v>7133.56</v>
          </cell>
          <cell r="K351">
            <v>100</v>
          </cell>
          <cell r="L351">
            <v>14.4</v>
          </cell>
          <cell r="M351">
            <v>1.0900000000000001</v>
          </cell>
          <cell r="N351">
            <v>10</v>
          </cell>
          <cell r="O351">
            <v>1036.95</v>
          </cell>
        </row>
        <row r="352">
          <cell r="A352" t="str">
            <v>PDV_332025/7</v>
          </cell>
          <cell r="B352">
            <v>45839</v>
          </cell>
          <cell r="C352" t="str">
            <v>PDV_33</v>
          </cell>
          <cell r="D352" t="str">
            <v>MG</v>
          </cell>
          <cell r="E352">
            <v>8</v>
          </cell>
          <cell r="F352">
            <v>21</v>
          </cell>
          <cell r="G352">
            <v>2810.85</v>
          </cell>
          <cell r="H352">
            <v>30563.46</v>
          </cell>
          <cell r="I352">
            <v>25093.279999999999</v>
          </cell>
          <cell r="J352">
            <v>5352.98</v>
          </cell>
          <cell r="K352">
            <v>100</v>
          </cell>
          <cell r="L352">
            <v>14.4</v>
          </cell>
          <cell r="M352">
            <v>1.0900000000000001</v>
          </cell>
          <cell r="N352">
            <v>5</v>
          </cell>
          <cell r="O352">
            <v>1087.3399999999999</v>
          </cell>
        </row>
        <row r="353">
          <cell r="A353" t="str">
            <v>PDV_342025/7</v>
          </cell>
          <cell r="B353">
            <v>45839</v>
          </cell>
          <cell r="C353" t="str">
            <v>PDV_34</v>
          </cell>
          <cell r="D353" t="str">
            <v>SP</v>
          </cell>
          <cell r="E353">
            <v>12</v>
          </cell>
          <cell r="F353">
            <v>21</v>
          </cell>
          <cell r="G353">
            <v>2645.47</v>
          </cell>
          <cell r="H353">
            <v>20742.52</v>
          </cell>
          <cell r="I353">
            <v>14039.21</v>
          </cell>
          <cell r="J353">
            <v>6617.41</v>
          </cell>
          <cell r="K353">
            <v>100</v>
          </cell>
          <cell r="L353">
            <v>14.4</v>
          </cell>
          <cell r="M353">
            <v>1.0900000000000001</v>
          </cell>
          <cell r="N353">
            <v>9</v>
          </cell>
          <cell r="O353">
            <v>784.08</v>
          </cell>
        </row>
        <row r="354">
          <cell r="A354" t="str">
            <v>PDV_352025/7</v>
          </cell>
          <cell r="B354">
            <v>45839</v>
          </cell>
          <cell r="C354" t="str">
            <v>PDV_35</v>
          </cell>
          <cell r="D354" t="str">
            <v>SP</v>
          </cell>
          <cell r="E354">
            <v>6</v>
          </cell>
          <cell r="F354">
            <v>21</v>
          </cell>
          <cell r="G354">
            <v>2606.4299999999998</v>
          </cell>
          <cell r="H354">
            <v>22217.69</v>
          </cell>
          <cell r="I354">
            <v>18329.61</v>
          </cell>
          <cell r="J354">
            <v>4124.76</v>
          </cell>
          <cell r="K354">
            <v>100</v>
          </cell>
          <cell r="L354">
            <v>14.4</v>
          </cell>
          <cell r="M354">
            <v>1.0900000000000001</v>
          </cell>
          <cell r="N354">
            <v>6</v>
          </cell>
          <cell r="O354">
            <v>852.42</v>
          </cell>
        </row>
        <row r="355">
          <cell r="A355" t="str">
            <v>PDV_362025/7</v>
          </cell>
          <cell r="B355">
            <v>45839</v>
          </cell>
          <cell r="C355" t="str">
            <v>PDV_36</v>
          </cell>
          <cell r="D355" t="str">
            <v>SP</v>
          </cell>
          <cell r="E355">
            <v>19</v>
          </cell>
          <cell r="F355">
            <v>21</v>
          </cell>
          <cell r="G355">
            <v>2688.99</v>
          </cell>
          <cell r="H355">
            <v>15748.71</v>
          </cell>
          <cell r="I355">
            <v>9204.89</v>
          </cell>
          <cell r="K355">
            <v>100</v>
          </cell>
          <cell r="L355">
            <v>14.4</v>
          </cell>
          <cell r="M355">
            <v>1.0900000000000001</v>
          </cell>
          <cell r="N355">
            <v>13</v>
          </cell>
          <cell r="O355">
            <v>585.66999999999996</v>
          </cell>
        </row>
        <row r="356">
          <cell r="A356" t="str">
            <v>PDV_372025/7</v>
          </cell>
          <cell r="B356">
            <v>45839</v>
          </cell>
          <cell r="C356" t="str">
            <v>PDV_37</v>
          </cell>
          <cell r="D356" t="str">
            <v>PR</v>
          </cell>
          <cell r="E356">
            <v>12</v>
          </cell>
          <cell r="F356">
            <v>21</v>
          </cell>
          <cell r="G356">
            <v>2526.86</v>
          </cell>
          <cell r="H356">
            <v>27562.91</v>
          </cell>
          <cell r="I356">
            <v>16853.97</v>
          </cell>
          <cell r="J356">
            <v>10551.1</v>
          </cell>
          <cell r="K356">
            <v>100</v>
          </cell>
          <cell r="L356">
            <v>14.4</v>
          </cell>
          <cell r="M356">
            <v>1.0900000000000001</v>
          </cell>
          <cell r="N356">
            <v>13</v>
          </cell>
          <cell r="O356">
            <v>1090.8</v>
          </cell>
        </row>
        <row r="357">
          <cell r="A357" t="str">
            <v>PDV_382025/7</v>
          </cell>
          <cell r="B357">
            <v>45839</v>
          </cell>
          <cell r="C357" t="str">
            <v>PDV_38</v>
          </cell>
          <cell r="D357" t="str">
            <v>RS</v>
          </cell>
          <cell r="E357">
            <v>21</v>
          </cell>
          <cell r="F357">
            <v>21</v>
          </cell>
          <cell r="G357">
            <v>2605.59</v>
          </cell>
          <cell r="H357">
            <v>32797.379999999997</v>
          </cell>
          <cell r="I357">
            <v>24656.16</v>
          </cell>
          <cell r="J357">
            <v>8269.99</v>
          </cell>
          <cell r="K357">
            <v>100</v>
          </cell>
          <cell r="L357">
            <v>14.4</v>
          </cell>
          <cell r="M357">
            <v>1.0900000000000001</v>
          </cell>
          <cell r="N357">
            <v>20</v>
          </cell>
          <cell r="O357">
            <v>1258.73</v>
          </cell>
        </row>
        <row r="358">
          <cell r="A358" t="str">
            <v>PDV_392025/7</v>
          </cell>
          <cell r="B358">
            <v>45839</v>
          </cell>
          <cell r="C358" t="str">
            <v>PDV_39</v>
          </cell>
          <cell r="D358" t="str">
            <v>SP</v>
          </cell>
          <cell r="E358">
            <v>7</v>
          </cell>
          <cell r="F358">
            <v>21</v>
          </cell>
          <cell r="G358">
            <v>2687.54</v>
          </cell>
          <cell r="H358">
            <v>29970.76</v>
          </cell>
          <cell r="I358">
            <v>24793.07</v>
          </cell>
          <cell r="J358">
            <v>5141.7299999999996</v>
          </cell>
          <cell r="K358">
            <v>100</v>
          </cell>
          <cell r="L358">
            <v>14.4</v>
          </cell>
          <cell r="M358">
            <v>1.0900000000000001</v>
          </cell>
          <cell r="N358">
            <v>3</v>
          </cell>
          <cell r="O358">
            <v>1115.17</v>
          </cell>
        </row>
        <row r="359">
          <cell r="A359" t="str">
            <v>PDV_402025/7</v>
          </cell>
          <cell r="B359">
            <v>45839</v>
          </cell>
          <cell r="C359" t="str">
            <v>PDV_40</v>
          </cell>
          <cell r="D359" t="str">
            <v>PR</v>
          </cell>
          <cell r="E359">
            <v>46</v>
          </cell>
          <cell r="F359">
            <v>21</v>
          </cell>
          <cell r="G359">
            <v>2547.36</v>
          </cell>
          <cell r="H359">
            <v>33919.599999999999</v>
          </cell>
          <cell r="I359">
            <v>26332.93</v>
          </cell>
          <cell r="J359">
            <v>7755.8</v>
          </cell>
          <cell r="K359">
            <v>100</v>
          </cell>
          <cell r="L359">
            <v>14.4</v>
          </cell>
          <cell r="M359">
            <v>1.0900000000000001</v>
          </cell>
          <cell r="N359">
            <v>7</v>
          </cell>
          <cell r="O359">
            <v>1331.56</v>
          </cell>
        </row>
        <row r="360">
          <cell r="A360" t="str">
            <v>PDV_412025/7</v>
          </cell>
          <cell r="B360">
            <v>45839</v>
          </cell>
          <cell r="C360" t="str">
            <v>PDV_41</v>
          </cell>
          <cell r="D360" t="str">
            <v>MG</v>
          </cell>
          <cell r="E360">
            <v>35</v>
          </cell>
          <cell r="F360">
            <v>21</v>
          </cell>
          <cell r="G360">
            <v>2574.3200000000002</v>
          </cell>
          <cell r="H360">
            <v>12835.14</v>
          </cell>
          <cell r="I360">
            <v>8704.7800000000007</v>
          </cell>
          <cell r="J360">
            <v>4278.04</v>
          </cell>
          <cell r="K360">
            <v>100</v>
          </cell>
          <cell r="L360">
            <v>14.4</v>
          </cell>
          <cell r="M360">
            <v>1.0900000000000001</v>
          </cell>
          <cell r="N360">
            <v>2</v>
          </cell>
          <cell r="O360">
            <v>498.58</v>
          </cell>
        </row>
        <row r="361">
          <cell r="A361" t="str">
            <v>PDV_422025/7</v>
          </cell>
          <cell r="B361">
            <v>45839</v>
          </cell>
          <cell r="C361" t="str">
            <v>PDV_42</v>
          </cell>
          <cell r="D361" t="str">
            <v>SP</v>
          </cell>
          <cell r="E361">
            <v>24</v>
          </cell>
          <cell r="F361">
            <v>21</v>
          </cell>
          <cell r="G361">
            <v>2788.54</v>
          </cell>
          <cell r="H361">
            <v>25220.63</v>
          </cell>
          <cell r="I361">
            <v>13299.58</v>
          </cell>
          <cell r="J361">
            <v>11944.9</v>
          </cell>
          <cell r="K361">
            <v>100</v>
          </cell>
          <cell r="L361">
            <v>14.4</v>
          </cell>
          <cell r="M361">
            <v>1.0900000000000001</v>
          </cell>
          <cell r="N361">
            <v>1</v>
          </cell>
          <cell r="O361">
            <v>904.44</v>
          </cell>
        </row>
        <row r="362">
          <cell r="A362" t="str">
            <v>PDV_432025/7</v>
          </cell>
          <cell r="B362">
            <v>45839</v>
          </cell>
          <cell r="C362" t="str">
            <v>PDV_43</v>
          </cell>
          <cell r="D362" t="str">
            <v>MG</v>
          </cell>
          <cell r="E362">
            <v>39</v>
          </cell>
          <cell r="F362">
            <v>21</v>
          </cell>
          <cell r="G362">
            <v>2603.84</v>
          </cell>
          <cell r="H362">
            <v>28099.64</v>
          </cell>
          <cell r="I362">
            <v>18008.419999999998</v>
          </cell>
          <cell r="J362">
            <v>10082.27</v>
          </cell>
          <cell r="K362">
            <v>100</v>
          </cell>
          <cell r="L362">
            <v>14.4</v>
          </cell>
          <cell r="M362">
            <v>1.0900000000000001</v>
          </cell>
          <cell r="N362">
            <v>17</v>
          </cell>
          <cell r="O362">
            <v>1079.1600000000001</v>
          </cell>
        </row>
        <row r="363">
          <cell r="A363" t="str">
            <v>PDV_442025/7</v>
          </cell>
          <cell r="B363">
            <v>45839</v>
          </cell>
          <cell r="C363" t="str">
            <v>PDV_44</v>
          </cell>
          <cell r="D363" t="str">
            <v>RS</v>
          </cell>
          <cell r="E363">
            <v>32</v>
          </cell>
          <cell r="F363">
            <v>21</v>
          </cell>
          <cell r="G363">
            <v>2643.34</v>
          </cell>
          <cell r="H363">
            <v>30039.17</v>
          </cell>
          <cell r="I363">
            <v>17335.310000000001</v>
          </cell>
          <cell r="J363">
            <v>12554.42</v>
          </cell>
          <cell r="K363">
            <v>100</v>
          </cell>
          <cell r="L363">
            <v>14.4</v>
          </cell>
          <cell r="M363">
            <v>1.0900000000000001</v>
          </cell>
          <cell r="N363">
            <v>12</v>
          </cell>
          <cell r="O363">
            <v>1136.4100000000001</v>
          </cell>
        </row>
        <row r="364">
          <cell r="A364" t="str">
            <v>PDV_452025/7</v>
          </cell>
          <cell r="B364">
            <v>45839</v>
          </cell>
          <cell r="C364" t="str">
            <v>PDV_45</v>
          </cell>
          <cell r="D364" t="str">
            <v>PE</v>
          </cell>
          <cell r="E364">
            <v>35</v>
          </cell>
          <cell r="F364">
            <v>21</v>
          </cell>
          <cell r="G364">
            <v>2828.96</v>
          </cell>
          <cell r="H364">
            <v>12942.24</v>
          </cell>
          <cell r="I364">
            <v>10011.07</v>
          </cell>
          <cell r="J364">
            <v>2969.07</v>
          </cell>
          <cell r="K364">
            <v>100</v>
          </cell>
          <cell r="L364">
            <v>14.4</v>
          </cell>
          <cell r="M364">
            <v>1.0900000000000001</v>
          </cell>
          <cell r="N364">
            <v>8</v>
          </cell>
          <cell r="O364">
            <v>457.49</v>
          </cell>
        </row>
        <row r="365">
          <cell r="A365" t="str">
            <v>PDV_462025/7</v>
          </cell>
          <cell r="B365">
            <v>45839</v>
          </cell>
          <cell r="C365" t="str">
            <v>PDV_46</v>
          </cell>
          <cell r="D365" t="str">
            <v>PE</v>
          </cell>
          <cell r="E365">
            <v>44</v>
          </cell>
          <cell r="F365">
            <v>21</v>
          </cell>
          <cell r="G365">
            <v>2821.7</v>
          </cell>
          <cell r="H365">
            <v>29842.68</v>
          </cell>
          <cell r="I365">
            <v>22259.86</v>
          </cell>
          <cell r="J365">
            <v>7710.82</v>
          </cell>
          <cell r="L365">
            <v>14.4</v>
          </cell>
          <cell r="M365">
            <v>1.0900000000000001</v>
          </cell>
          <cell r="N365">
            <v>18</v>
          </cell>
          <cell r="O365">
            <v>1057.6099999999999</v>
          </cell>
        </row>
        <row r="366">
          <cell r="A366" t="str">
            <v>PDV_472025/7</v>
          </cell>
          <cell r="B366">
            <v>45839</v>
          </cell>
          <cell r="C366" t="str">
            <v>PDV_47</v>
          </cell>
          <cell r="D366" t="str">
            <v>RJ</v>
          </cell>
          <cell r="E366">
            <v>50</v>
          </cell>
          <cell r="F366">
            <v>21</v>
          </cell>
          <cell r="G366">
            <v>2676.61</v>
          </cell>
          <cell r="H366">
            <v>23591.54</v>
          </cell>
          <cell r="I366">
            <v>19468.02</v>
          </cell>
          <cell r="J366">
            <v>4025.02</v>
          </cell>
          <cell r="K366">
            <v>100</v>
          </cell>
          <cell r="L366">
            <v>14.4</v>
          </cell>
          <cell r="M366">
            <v>1.0900000000000001</v>
          </cell>
          <cell r="N366">
            <v>12</v>
          </cell>
          <cell r="O366">
            <v>881.4</v>
          </cell>
        </row>
        <row r="367">
          <cell r="A367" t="str">
            <v>PDV_482025/7</v>
          </cell>
          <cell r="B367">
            <v>45839</v>
          </cell>
          <cell r="C367" t="str">
            <v>PDV_48</v>
          </cell>
          <cell r="D367" t="str">
            <v>DF</v>
          </cell>
          <cell r="E367">
            <v>43</v>
          </cell>
          <cell r="F367">
            <v>21</v>
          </cell>
          <cell r="G367">
            <v>2328.23</v>
          </cell>
          <cell r="H367">
            <v>19751.7</v>
          </cell>
          <cell r="I367">
            <v>12641.23</v>
          </cell>
          <cell r="J367">
            <v>7048.25</v>
          </cell>
          <cell r="K367">
            <v>100</v>
          </cell>
          <cell r="L367">
            <v>14.4</v>
          </cell>
          <cell r="M367">
            <v>1.0900000000000001</v>
          </cell>
          <cell r="N367">
            <v>6</v>
          </cell>
          <cell r="O367">
            <v>848.36</v>
          </cell>
        </row>
        <row r="368">
          <cell r="A368" t="str">
            <v>PDV_492025/7</v>
          </cell>
          <cell r="B368">
            <v>45839</v>
          </cell>
          <cell r="C368" t="str">
            <v>PDV_49</v>
          </cell>
          <cell r="D368" t="str">
            <v>MG</v>
          </cell>
          <cell r="E368">
            <v>49</v>
          </cell>
          <cell r="F368">
            <v>21</v>
          </cell>
          <cell r="G368">
            <v>2722.68</v>
          </cell>
          <cell r="H368">
            <v>27645.24</v>
          </cell>
          <cell r="I368">
            <v>13221.76</v>
          </cell>
          <cell r="J368">
            <v>14454.62</v>
          </cell>
          <cell r="K368">
            <v>100</v>
          </cell>
          <cell r="L368">
            <v>14.4</v>
          </cell>
          <cell r="M368">
            <v>1.0900000000000001</v>
          </cell>
          <cell r="N368">
            <v>18</v>
          </cell>
          <cell r="O368">
            <v>1015.37</v>
          </cell>
        </row>
        <row r="369">
          <cell r="A369" t="str">
            <v>PDV_502025/7</v>
          </cell>
          <cell r="B369">
            <v>45839</v>
          </cell>
          <cell r="C369" t="str">
            <v>PDV_50</v>
          </cell>
          <cell r="D369" t="str">
            <v>RJ</v>
          </cell>
          <cell r="E369">
            <v>23</v>
          </cell>
          <cell r="F369">
            <v>21</v>
          </cell>
          <cell r="G369">
            <v>2780.46</v>
          </cell>
          <cell r="H369">
            <v>22884.25</v>
          </cell>
          <cell r="I369">
            <v>12780.34</v>
          </cell>
          <cell r="J369">
            <v>9908.11</v>
          </cell>
          <cell r="K369">
            <v>100</v>
          </cell>
          <cell r="L369">
            <v>14.4</v>
          </cell>
          <cell r="M369">
            <v>1.0900000000000001</v>
          </cell>
          <cell r="N369">
            <v>18</v>
          </cell>
          <cell r="O369">
            <v>823.04</v>
          </cell>
        </row>
        <row r="370">
          <cell r="A370" t="str">
            <v>PDV_512025/7</v>
          </cell>
          <cell r="B370">
            <v>45839</v>
          </cell>
          <cell r="C370" t="str">
            <v>PDV_51</v>
          </cell>
          <cell r="D370" t="str">
            <v>MG</v>
          </cell>
          <cell r="E370">
            <v>5</v>
          </cell>
          <cell r="F370">
            <v>21</v>
          </cell>
          <cell r="G370">
            <v>2625.52</v>
          </cell>
          <cell r="H370">
            <v>27077.98</v>
          </cell>
          <cell r="I370">
            <v>20691.29</v>
          </cell>
          <cell r="J370">
            <v>6584</v>
          </cell>
          <cell r="K370">
            <v>100</v>
          </cell>
          <cell r="L370">
            <v>14.4</v>
          </cell>
          <cell r="M370">
            <v>1.0900000000000001</v>
          </cell>
          <cell r="N370">
            <v>4</v>
          </cell>
          <cell r="O370">
            <v>1031.3399999999999</v>
          </cell>
        </row>
        <row r="371">
          <cell r="A371" t="str">
            <v>PDV_522025/7</v>
          </cell>
          <cell r="B371">
            <v>45839</v>
          </cell>
          <cell r="C371" t="str">
            <v>PDV_52</v>
          </cell>
          <cell r="D371" t="str">
            <v>RJ</v>
          </cell>
          <cell r="E371">
            <v>39</v>
          </cell>
          <cell r="F371">
            <v>21</v>
          </cell>
          <cell r="G371">
            <v>2501.89</v>
          </cell>
          <cell r="H371">
            <v>12145.25</v>
          </cell>
          <cell r="I371">
            <v>7138.13</v>
          </cell>
          <cell r="J371">
            <v>5009.1000000000004</v>
          </cell>
          <cell r="K371">
            <v>100</v>
          </cell>
          <cell r="L371">
            <v>14.4</v>
          </cell>
          <cell r="M371">
            <v>1.0900000000000001</v>
          </cell>
          <cell r="N371">
            <v>16</v>
          </cell>
          <cell r="O371">
            <v>485.44</v>
          </cell>
        </row>
        <row r="372">
          <cell r="A372" t="str">
            <v>PDV_532025/7</v>
          </cell>
          <cell r="B372">
            <v>45839</v>
          </cell>
          <cell r="C372" t="str">
            <v>PDV_53</v>
          </cell>
          <cell r="D372" t="str">
            <v>SP</v>
          </cell>
          <cell r="E372">
            <v>15</v>
          </cell>
          <cell r="F372">
            <v>21</v>
          </cell>
          <cell r="G372">
            <v>2525.39</v>
          </cell>
          <cell r="H372">
            <v>31271.53</v>
          </cell>
          <cell r="I372">
            <v>13832.63</v>
          </cell>
          <cell r="J372">
            <v>17331.57</v>
          </cell>
          <cell r="K372">
            <v>100</v>
          </cell>
          <cell r="L372">
            <v>14.4</v>
          </cell>
          <cell r="M372">
            <v>1.0900000000000001</v>
          </cell>
          <cell r="N372">
            <v>10</v>
          </cell>
          <cell r="O372">
            <v>1238.28</v>
          </cell>
        </row>
        <row r="373">
          <cell r="A373" t="str">
            <v>PDV_12025/8</v>
          </cell>
          <cell r="B373">
            <v>45870</v>
          </cell>
          <cell r="C373" t="str">
            <v>PDV_1</v>
          </cell>
          <cell r="D373" t="str">
            <v>BA</v>
          </cell>
          <cell r="E373">
            <v>13</v>
          </cell>
          <cell r="F373">
            <v>18</v>
          </cell>
          <cell r="G373">
            <v>2534.11</v>
          </cell>
          <cell r="H373">
            <v>12601.65</v>
          </cell>
          <cell r="I373">
            <v>8962.4599999999991</v>
          </cell>
          <cell r="J373">
            <v>3610.15</v>
          </cell>
          <cell r="K373">
            <v>100</v>
          </cell>
          <cell r="L373">
            <v>15.25</v>
          </cell>
          <cell r="M373">
            <v>0.37</v>
          </cell>
          <cell r="N373">
            <v>12</v>
          </cell>
          <cell r="O373">
            <v>497.28</v>
          </cell>
        </row>
        <row r="374">
          <cell r="A374" t="str">
            <v>PDV_22025/8</v>
          </cell>
          <cell r="B374">
            <v>45870</v>
          </cell>
          <cell r="C374" t="str">
            <v>PDV_2</v>
          </cell>
          <cell r="D374" t="str">
            <v>MG</v>
          </cell>
          <cell r="E374">
            <v>29</v>
          </cell>
          <cell r="F374">
            <v>18</v>
          </cell>
          <cell r="G374">
            <v>2242.2399999999998</v>
          </cell>
          <cell r="H374">
            <v>12733.57</v>
          </cell>
          <cell r="I374">
            <v>7526.22</v>
          </cell>
          <cell r="J374">
            <v>5279.18</v>
          </cell>
          <cell r="K374">
            <v>100</v>
          </cell>
          <cell r="L374">
            <v>15.25</v>
          </cell>
          <cell r="M374">
            <v>0.37</v>
          </cell>
          <cell r="N374">
            <v>13</v>
          </cell>
          <cell r="O374">
            <v>567.9</v>
          </cell>
        </row>
        <row r="375">
          <cell r="A375" t="str">
            <v>PDV_32025/8</v>
          </cell>
          <cell r="B375">
            <v>45870</v>
          </cell>
          <cell r="C375" t="str">
            <v>PDV_3</v>
          </cell>
          <cell r="D375" t="str">
            <v>PE</v>
          </cell>
          <cell r="E375">
            <v>8</v>
          </cell>
          <cell r="F375">
            <v>18</v>
          </cell>
          <cell r="G375">
            <v>2586.6999999999998</v>
          </cell>
          <cell r="H375">
            <v>20444.78</v>
          </cell>
          <cell r="I375">
            <v>17474.3</v>
          </cell>
          <cell r="J375">
            <v>2937.51</v>
          </cell>
          <cell r="K375">
            <v>100</v>
          </cell>
          <cell r="L375">
            <v>15.25</v>
          </cell>
          <cell r="M375">
            <v>0.37</v>
          </cell>
          <cell r="N375">
            <v>7</v>
          </cell>
          <cell r="O375">
            <v>790.38</v>
          </cell>
        </row>
        <row r="376">
          <cell r="A376" t="str">
            <v>PDV_42025/8</v>
          </cell>
          <cell r="B376">
            <v>45870</v>
          </cell>
          <cell r="C376" t="str">
            <v>PDV_4</v>
          </cell>
          <cell r="D376" t="str">
            <v>SP</v>
          </cell>
          <cell r="E376">
            <v>44</v>
          </cell>
          <cell r="F376">
            <v>18</v>
          </cell>
          <cell r="H376">
            <v>20038.14</v>
          </cell>
          <cell r="I376">
            <v>13991.42</v>
          </cell>
          <cell r="J376">
            <v>6184.84</v>
          </cell>
          <cell r="K376">
            <v>100</v>
          </cell>
          <cell r="L376">
            <v>15.25</v>
          </cell>
          <cell r="M376">
            <v>0.37</v>
          </cell>
          <cell r="N376">
            <v>3</v>
          </cell>
        </row>
        <row r="377">
          <cell r="A377" t="str">
            <v>PDV_52025/8</v>
          </cell>
          <cell r="B377">
            <v>45870</v>
          </cell>
          <cell r="C377" t="str">
            <v>PDV_5</v>
          </cell>
          <cell r="D377" t="str">
            <v>PE</v>
          </cell>
          <cell r="E377">
            <v>28</v>
          </cell>
          <cell r="F377">
            <v>18</v>
          </cell>
          <cell r="G377">
            <v>2324.0700000000002</v>
          </cell>
          <cell r="H377">
            <v>16418.849999999999</v>
          </cell>
          <cell r="I377">
            <v>12892.45</v>
          </cell>
          <cell r="J377">
            <v>3242.89</v>
          </cell>
          <cell r="K377">
            <v>100</v>
          </cell>
          <cell r="L377">
            <v>15.25</v>
          </cell>
          <cell r="M377">
            <v>0.37</v>
          </cell>
          <cell r="N377">
            <v>17</v>
          </cell>
          <cell r="O377">
            <v>706.47</v>
          </cell>
        </row>
        <row r="378">
          <cell r="A378" t="str">
            <v>PDV_62025/8</v>
          </cell>
          <cell r="B378">
            <v>45870</v>
          </cell>
          <cell r="C378" t="str">
            <v>PDV_6</v>
          </cell>
          <cell r="D378" t="str">
            <v>RS</v>
          </cell>
          <cell r="E378">
            <v>20</v>
          </cell>
          <cell r="F378">
            <v>18</v>
          </cell>
          <cell r="G378">
            <v>2411.67</v>
          </cell>
          <cell r="H378">
            <v>12628.34</v>
          </cell>
          <cell r="I378">
            <v>9973.91</v>
          </cell>
          <cell r="J378">
            <v>2499.46</v>
          </cell>
          <cell r="K378">
            <v>100</v>
          </cell>
          <cell r="L378">
            <v>15.25</v>
          </cell>
          <cell r="M378">
            <v>0.37</v>
          </cell>
          <cell r="N378">
            <v>20</v>
          </cell>
          <cell r="O378">
            <v>523.64</v>
          </cell>
        </row>
        <row r="379">
          <cell r="A379" t="str">
            <v>PDV_72025/8</v>
          </cell>
          <cell r="B379">
            <v>45870</v>
          </cell>
          <cell r="C379" t="str">
            <v>PDV_7</v>
          </cell>
          <cell r="D379" t="str">
            <v>RJ</v>
          </cell>
          <cell r="E379">
            <v>15</v>
          </cell>
          <cell r="F379">
            <v>18</v>
          </cell>
          <cell r="G379">
            <v>2398.52</v>
          </cell>
          <cell r="H379">
            <v>14808.34</v>
          </cell>
          <cell r="I379">
            <v>10869.79</v>
          </cell>
          <cell r="J379">
            <v>3920.08</v>
          </cell>
          <cell r="L379">
            <v>15.25</v>
          </cell>
          <cell r="M379">
            <v>0.37</v>
          </cell>
          <cell r="N379">
            <v>14</v>
          </cell>
          <cell r="O379">
            <v>617.4</v>
          </cell>
        </row>
        <row r="380">
          <cell r="A380" t="str">
            <v>PDV_82025/8</v>
          </cell>
          <cell r="B380">
            <v>45870</v>
          </cell>
          <cell r="C380" t="str">
            <v>PDV_8</v>
          </cell>
          <cell r="D380" t="str">
            <v>SP</v>
          </cell>
          <cell r="E380">
            <v>35</v>
          </cell>
          <cell r="F380">
            <v>18</v>
          </cell>
          <cell r="G380">
            <v>2361.61</v>
          </cell>
          <cell r="H380">
            <v>20198.669999999998</v>
          </cell>
          <cell r="I380">
            <v>8810.98</v>
          </cell>
          <cell r="J380">
            <v>11120.72</v>
          </cell>
          <cell r="K380">
            <v>100</v>
          </cell>
          <cell r="L380">
            <v>15.25</v>
          </cell>
          <cell r="M380">
            <v>0.37</v>
          </cell>
          <cell r="N380">
            <v>11</v>
          </cell>
          <cell r="O380">
            <v>855.29</v>
          </cell>
        </row>
        <row r="381">
          <cell r="A381" t="str">
            <v>PDV_92025/8</v>
          </cell>
          <cell r="B381">
            <v>45870</v>
          </cell>
          <cell r="C381" t="str">
            <v>PDV_9</v>
          </cell>
          <cell r="D381" t="str">
            <v>DF</v>
          </cell>
          <cell r="E381">
            <v>39</v>
          </cell>
          <cell r="F381">
            <v>18</v>
          </cell>
          <cell r="G381">
            <v>2420.42</v>
          </cell>
          <cell r="H381">
            <v>11130.91</v>
          </cell>
          <cell r="I381">
            <v>7106.35</v>
          </cell>
          <cell r="J381">
            <v>3916.25</v>
          </cell>
          <cell r="K381">
            <v>100</v>
          </cell>
          <cell r="L381">
            <v>15.25</v>
          </cell>
          <cell r="M381">
            <v>0.37</v>
          </cell>
          <cell r="N381">
            <v>11</v>
          </cell>
          <cell r="O381">
            <v>459.88</v>
          </cell>
        </row>
        <row r="382">
          <cell r="A382" t="str">
            <v>PDV_102025/8</v>
          </cell>
          <cell r="B382">
            <v>45870</v>
          </cell>
          <cell r="C382" t="str">
            <v>PDV_10</v>
          </cell>
          <cell r="D382" t="str">
            <v>SP</v>
          </cell>
          <cell r="E382">
            <v>7</v>
          </cell>
          <cell r="F382">
            <v>18</v>
          </cell>
          <cell r="G382">
            <v>2183.9299999999998</v>
          </cell>
          <cell r="H382">
            <v>13688.51</v>
          </cell>
          <cell r="I382">
            <v>10247.64</v>
          </cell>
          <cell r="J382">
            <v>3440.67</v>
          </cell>
          <cell r="L382">
            <v>15.25</v>
          </cell>
          <cell r="M382">
            <v>0.37</v>
          </cell>
          <cell r="N382">
            <v>15</v>
          </cell>
          <cell r="O382">
            <v>626.78</v>
          </cell>
        </row>
        <row r="383">
          <cell r="A383" t="str">
            <v>PDV_112025/8</v>
          </cell>
          <cell r="B383">
            <v>45870</v>
          </cell>
          <cell r="C383" t="str">
            <v>PDV_11</v>
          </cell>
          <cell r="D383" t="str">
            <v>PE</v>
          </cell>
          <cell r="E383">
            <v>39</v>
          </cell>
          <cell r="F383">
            <v>18</v>
          </cell>
          <cell r="G383">
            <v>2314.58</v>
          </cell>
          <cell r="H383">
            <v>21595.9</v>
          </cell>
          <cell r="I383">
            <v>17103.97</v>
          </cell>
          <cell r="J383">
            <v>4418.43</v>
          </cell>
          <cell r="K383">
            <v>100</v>
          </cell>
          <cell r="L383">
            <v>15.25</v>
          </cell>
          <cell r="M383">
            <v>0.37</v>
          </cell>
          <cell r="N383">
            <v>8</v>
          </cell>
          <cell r="O383">
            <v>933.04</v>
          </cell>
        </row>
        <row r="384">
          <cell r="A384" t="str">
            <v>PDV_122025/8</v>
          </cell>
          <cell r="B384">
            <v>45870</v>
          </cell>
          <cell r="C384" t="str">
            <v>PDV_12</v>
          </cell>
          <cell r="D384" t="str">
            <v>BA</v>
          </cell>
          <cell r="E384">
            <v>19</v>
          </cell>
          <cell r="F384">
            <v>18</v>
          </cell>
          <cell r="G384">
            <v>2481.0700000000002</v>
          </cell>
          <cell r="H384">
            <v>19934.240000000002</v>
          </cell>
          <cell r="I384">
            <v>12092.6</v>
          </cell>
          <cell r="J384">
            <v>7900.52</v>
          </cell>
          <cell r="K384">
            <v>100</v>
          </cell>
          <cell r="L384">
            <v>15.25</v>
          </cell>
          <cell r="M384">
            <v>0.37</v>
          </cell>
          <cell r="N384">
            <v>6</v>
          </cell>
          <cell r="O384">
            <v>803.45</v>
          </cell>
        </row>
        <row r="385">
          <cell r="A385" t="str">
            <v>PDV_132025/8</v>
          </cell>
          <cell r="B385">
            <v>45870</v>
          </cell>
          <cell r="C385" t="str">
            <v>PDV_13</v>
          </cell>
          <cell r="D385" t="str">
            <v>RJ</v>
          </cell>
          <cell r="E385">
            <v>39</v>
          </cell>
          <cell r="F385">
            <v>18</v>
          </cell>
          <cell r="G385">
            <v>2264.34</v>
          </cell>
          <cell r="H385">
            <v>20890.32</v>
          </cell>
          <cell r="I385">
            <v>14056.96</v>
          </cell>
          <cell r="J385">
            <v>6951.76</v>
          </cell>
          <cell r="K385">
            <v>100</v>
          </cell>
          <cell r="L385">
            <v>15.25</v>
          </cell>
          <cell r="M385">
            <v>0.37</v>
          </cell>
          <cell r="N385">
            <v>4</v>
          </cell>
          <cell r="O385">
            <v>922.58</v>
          </cell>
        </row>
        <row r="386">
          <cell r="A386" t="str">
            <v>PDV_142025/8</v>
          </cell>
          <cell r="B386">
            <v>45870</v>
          </cell>
          <cell r="C386" t="str">
            <v>PDV_14</v>
          </cell>
          <cell r="D386" t="str">
            <v>MG</v>
          </cell>
          <cell r="E386">
            <v>29</v>
          </cell>
          <cell r="F386">
            <v>18</v>
          </cell>
          <cell r="G386">
            <v>2760.25</v>
          </cell>
          <cell r="H386">
            <v>12407.51</v>
          </cell>
          <cell r="I386">
            <v>7679.52</v>
          </cell>
          <cell r="J386">
            <v>12261.3</v>
          </cell>
          <cell r="K386">
            <v>86.93</v>
          </cell>
          <cell r="L386">
            <v>15.25</v>
          </cell>
          <cell r="M386">
            <v>0.37</v>
          </cell>
          <cell r="N386">
            <v>2</v>
          </cell>
          <cell r="O386">
            <v>449.51</v>
          </cell>
        </row>
        <row r="387">
          <cell r="A387" t="str">
            <v>PDV_152025/8</v>
          </cell>
          <cell r="B387">
            <v>45870</v>
          </cell>
          <cell r="C387" t="str">
            <v>PDV_15</v>
          </cell>
          <cell r="D387" t="str">
            <v>PR</v>
          </cell>
          <cell r="E387">
            <v>20</v>
          </cell>
          <cell r="F387">
            <v>18</v>
          </cell>
          <cell r="G387">
            <v>2249.0700000000002</v>
          </cell>
          <cell r="H387">
            <v>15360.74</v>
          </cell>
          <cell r="I387">
            <v>8053.47</v>
          </cell>
          <cell r="J387">
            <v>7401.96</v>
          </cell>
          <cell r="K387">
            <v>100</v>
          </cell>
          <cell r="L387">
            <v>15.25</v>
          </cell>
          <cell r="M387">
            <v>0.37</v>
          </cell>
          <cell r="N387">
            <v>11</v>
          </cell>
          <cell r="O387">
            <v>682.98</v>
          </cell>
        </row>
        <row r="388">
          <cell r="A388" t="str">
            <v>PDV_162025/8</v>
          </cell>
          <cell r="B388">
            <v>45870</v>
          </cell>
          <cell r="C388" t="str">
            <v>PDV_16</v>
          </cell>
          <cell r="D388" t="str">
            <v>RJ</v>
          </cell>
          <cell r="E388">
            <v>41</v>
          </cell>
          <cell r="F388">
            <v>18</v>
          </cell>
          <cell r="G388">
            <v>2669.98</v>
          </cell>
          <cell r="H388">
            <v>10621.38</v>
          </cell>
          <cell r="I388">
            <v>5366.81</v>
          </cell>
          <cell r="J388">
            <v>5127.04</v>
          </cell>
          <cell r="L388">
            <v>15.25</v>
          </cell>
          <cell r="M388">
            <v>0.37</v>
          </cell>
          <cell r="N388">
            <v>19</v>
          </cell>
          <cell r="O388">
            <v>397.81</v>
          </cell>
        </row>
        <row r="389">
          <cell r="A389" t="str">
            <v>PDV_172025/8</v>
          </cell>
          <cell r="B389">
            <v>45870</v>
          </cell>
          <cell r="C389" t="str">
            <v>PDV_17</v>
          </cell>
          <cell r="D389" t="str">
            <v>DF</v>
          </cell>
          <cell r="E389">
            <v>48</v>
          </cell>
          <cell r="F389">
            <v>18</v>
          </cell>
          <cell r="G389">
            <v>2424.4899999999998</v>
          </cell>
          <cell r="H389">
            <v>11141.7</v>
          </cell>
          <cell r="I389">
            <v>9786.44</v>
          </cell>
          <cell r="J389">
            <v>1302.67</v>
          </cell>
          <cell r="K389">
            <v>100</v>
          </cell>
          <cell r="L389">
            <v>15.25</v>
          </cell>
          <cell r="M389">
            <v>0.37</v>
          </cell>
          <cell r="N389">
            <v>11</v>
          </cell>
          <cell r="O389">
            <v>459.55</v>
          </cell>
        </row>
        <row r="390">
          <cell r="A390" t="str">
            <v>PDV_182025/8</v>
          </cell>
          <cell r="B390">
            <v>45870</v>
          </cell>
          <cell r="C390" t="str">
            <v>PDV_18</v>
          </cell>
          <cell r="D390" t="str">
            <v>MG</v>
          </cell>
          <cell r="E390">
            <v>21</v>
          </cell>
          <cell r="F390">
            <v>18</v>
          </cell>
          <cell r="G390">
            <v>2283.63</v>
          </cell>
          <cell r="H390">
            <v>14230.79</v>
          </cell>
          <cell r="I390">
            <v>9009.7199999999993</v>
          </cell>
          <cell r="J390">
            <v>5396.04</v>
          </cell>
          <cell r="K390">
            <v>100</v>
          </cell>
          <cell r="L390">
            <v>15.25</v>
          </cell>
          <cell r="M390">
            <v>0.37</v>
          </cell>
          <cell r="N390">
            <v>9</v>
          </cell>
          <cell r="O390">
            <v>623.16999999999996</v>
          </cell>
        </row>
        <row r="391">
          <cell r="A391" t="str">
            <v>PDV_192025/8</v>
          </cell>
          <cell r="B391">
            <v>45870</v>
          </cell>
          <cell r="C391" t="str">
            <v>PDV_19</v>
          </cell>
          <cell r="D391" t="str">
            <v>SP</v>
          </cell>
          <cell r="E391">
            <v>14</v>
          </cell>
          <cell r="F391">
            <v>18</v>
          </cell>
          <cell r="G391">
            <v>2291.7399999999998</v>
          </cell>
          <cell r="H391">
            <v>15561.52</v>
          </cell>
          <cell r="I391">
            <v>6906.29</v>
          </cell>
          <cell r="J391">
            <v>8700.8700000000008</v>
          </cell>
          <cell r="K391">
            <v>100</v>
          </cell>
          <cell r="L391">
            <v>15.25</v>
          </cell>
          <cell r="M391">
            <v>0.37</v>
          </cell>
          <cell r="N391">
            <v>14</v>
          </cell>
          <cell r="O391">
            <v>679.03</v>
          </cell>
        </row>
        <row r="392">
          <cell r="A392" t="str">
            <v>PDV_202025/8</v>
          </cell>
          <cell r="B392">
            <v>45870</v>
          </cell>
          <cell r="C392" t="str">
            <v>PDV_20</v>
          </cell>
          <cell r="D392" t="str">
            <v>PE</v>
          </cell>
          <cell r="E392">
            <v>34</v>
          </cell>
          <cell r="F392">
            <v>18</v>
          </cell>
          <cell r="G392">
            <v>2541.67</v>
          </cell>
          <cell r="H392">
            <v>13946.83</v>
          </cell>
          <cell r="I392">
            <v>7414.63</v>
          </cell>
          <cell r="J392">
            <v>6253.63</v>
          </cell>
          <cell r="K392">
            <v>100</v>
          </cell>
          <cell r="L392">
            <v>15.25</v>
          </cell>
          <cell r="M392">
            <v>0.37</v>
          </cell>
          <cell r="N392">
            <v>20</v>
          </cell>
          <cell r="O392">
            <v>548.73</v>
          </cell>
        </row>
        <row r="393">
          <cell r="A393" t="str">
            <v>PDV_212025/8</v>
          </cell>
          <cell r="B393">
            <v>45870</v>
          </cell>
          <cell r="C393" t="str">
            <v>PDV_21</v>
          </cell>
          <cell r="D393" t="str">
            <v>SP</v>
          </cell>
          <cell r="E393">
            <v>27</v>
          </cell>
          <cell r="F393">
            <v>18</v>
          </cell>
          <cell r="G393">
            <v>2434.27</v>
          </cell>
          <cell r="H393">
            <v>22292.73</v>
          </cell>
          <cell r="I393">
            <v>13434.69</v>
          </cell>
          <cell r="J393">
            <v>8857.4699999999993</v>
          </cell>
          <cell r="K393">
            <v>100</v>
          </cell>
          <cell r="L393">
            <v>15.25</v>
          </cell>
          <cell r="M393">
            <v>0.37</v>
          </cell>
          <cell r="N393">
            <v>8</v>
          </cell>
          <cell r="O393">
            <v>915.79</v>
          </cell>
        </row>
        <row r="394">
          <cell r="A394" t="str">
            <v>PDV_222025/8</v>
          </cell>
          <cell r="B394">
            <v>45870</v>
          </cell>
          <cell r="C394" t="str">
            <v>PDV_22</v>
          </cell>
          <cell r="D394" t="str">
            <v>RS</v>
          </cell>
          <cell r="E394">
            <v>7</v>
          </cell>
          <cell r="F394">
            <v>18</v>
          </cell>
          <cell r="G394">
            <v>2500.46</v>
          </cell>
          <cell r="H394">
            <v>22024.94</v>
          </cell>
          <cell r="I394">
            <v>12238.77</v>
          </cell>
          <cell r="J394">
            <v>9738.2199999999993</v>
          </cell>
          <cell r="K394">
            <v>100</v>
          </cell>
          <cell r="L394">
            <v>15.25</v>
          </cell>
          <cell r="M394">
            <v>0.37</v>
          </cell>
          <cell r="N394">
            <v>13</v>
          </cell>
          <cell r="O394">
            <v>880.83</v>
          </cell>
        </row>
        <row r="395">
          <cell r="A395" t="str">
            <v>PDV_232025/8</v>
          </cell>
          <cell r="B395">
            <v>45870</v>
          </cell>
          <cell r="C395" t="str">
            <v>PDV_23</v>
          </cell>
          <cell r="D395" t="str">
            <v>RJ</v>
          </cell>
          <cell r="E395">
            <v>32</v>
          </cell>
          <cell r="F395">
            <v>18</v>
          </cell>
          <cell r="G395">
            <v>2699.47</v>
          </cell>
          <cell r="H395">
            <v>24924.240000000002</v>
          </cell>
          <cell r="I395">
            <v>18459.62</v>
          </cell>
          <cell r="J395">
            <v>6571.78</v>
          </cell>
          <cell r="K395">
            <v>100</v>
          </cell>
          <cell r="L395">
            <v>15.25</v>
          </cell>
          <cell r="M395">
            <v>0.37</v>
          </cell>
          <cell r="N395">
            <v>13</v>
          </cell>
          <cell r="O395">
            <v>923.3</v>
          </cell>
        </row>
        <row r="396">
          <cell r="A396" t="str">
            <v>PDV_242025/8</v>
          </cell>
          <cell r="B396">
            <v>45870</v>
          </cell>
          <cell r="C396" t="str">
            <v>PDV_24</v>
          </cell>
          <cell r="D396" t="str">
            <v>PE</v>
          </cell>
          <cell r="E396">
            <v>49</v>
          </cell>
          <cell r="F396">
            <v>18</v>
          </cell>
          <cell r="G396">
            <v>2301.2600000000002</v>
          </cell>
          <cell r="H396">
            <v>14369.18</v>
          </cell>
          <cell r="I396">
            <v>11956.22</v>
          </cell>
          <cell r="J396">
            <v>2418.9699999999998</v>
          </cell>
          <cell r="K396">
            <v>100</v>
          </cell>
          <cell r="L396">
            <v>15.25</v>
          </cell>
          <cell r="M396">
            <v>0.37</v>
          </cell>
          <cell r="N396">
            <v>5</v>
          </cell>
          <cell r="O396">
            <v>624.41</v>
          </cell>
        </row>
        <row r="397">
          <cell r="A397" t="str">
            <v>PDV_252025/8</v>
          </cell>
          <cell r="B397">
            <v>45870</v>
          </cell>
          <cell r="C397" t="str">
            <v>PDV_25</v>
          </cell>
          <cell r="D397" t="str">
            <v>PE</v>
          </cell>
          <cell r="E397">
            <v>9</v>
          </cell>
          <cell r="F397">
            <v>18</v>
          </cell>
          <cell r="G397">
            <v>2594.2399999999998</v>
          </cell>
          <cell r="H397">
            <v>15679</v>
          </cell>
          <cell r="I397">
            <v>10034.09</v>
          </cell>
          <cell r="J397">
            <v>5521.23</v>
          </cell>
          <cell r="L397">
            <v>15.25</v>
          </cell>
          <cell r="M397">
            <v>0.37</v>
          </cell>
          <cell r="N397">
            <v>16</v>
          </cell>
          <cell r="O397">
            <v>604.38</v>
          </cell>
        </row>
        <row r="398">
          <cell r="A398" t="str">
            <v>PDV_262025/8</v>
          </cell>
          <cell r="B398">
            <v>45870</v>
          </cell>
          <cell r="C398" t="str">
            <v>PDV_26</v>
          </cell>
          <cell r="D398" t="str">
            <v>SP</v>
          </cell>
          <cell r="E398">
            <v>36</v>
          </cell>
          <cell r="F398">
            <v>18</v>
          </cell>
          <cell r="G398">
            <v>2571.41</v>
          </cell>
          <cell r="H398">
            <v>24274.22</v>
          </cell>
          <cell r="I398">
            <v>15674.91</v>
          </cell>
          <cell r="J398">
            <v>8585.64</v>
          </cell>
          <cell r="K398">
            <v>100</v>
          </cell>
          <cell r="L398">
            <v>15.25</v>
          </cell>
          <cell r="M398">
            <v>0.37</v>
          </cell>
          <cell r="N398">
            <v>8</v>
          </cell>
          <cell r="O398">
            <v>944.01</v>
          </cell>
        </row>
        <row r="399">
          <cell r="A399" t="str">
            <v>PDV_272025/8</v>
          </cell>
          <cell r="B399">
            <v>45870</v>
          </cell>
          <cell r="C399" t="str">
            <v>PDV_27</v>
          </cell>
          <cell r="D399" t="str">
            <v>RS</v>
          </cell>
          <cell r="E399">
            <v>6</v>
          </cell>
          <cell r="F399">
            <v>18</v>
          </cell>
          <cell r="G399">
            <v>2569.5700000000002</v>
          </cell>
          <cell r="H399">
            <v>18839.46</v>
          </cell>
          <cell r="I399">
            <v>12755.32</v>
          </cell>
          <cell r="J399">
            <v>5900.46</v>
          </cell>
          <cell r="K399">
            <v>100</v>
          </cell>
          <cell r="L399">
            <v>15.25</v>
          </cell>
          <cell r="M399">
            <v>0.37</v>
          </cell>
          <cell r="N399">
            <v>19</v>
          </cell>
          <cell r="O399">
            <v>733.17</v>
          </cell>
        </row>
        <row r="400">
          <cell r="A400" t="str">
            <v>PDV_282025/8</v>
          </cell>
          <cell r="B400">
            <v>45870</v>
          </cell>
          <cell r="C400" t="str">
            <v>PDV_28</v>
          </cell>
          <cell r="D400" t="str">
            <v>SP</v>
          </cell>
          <cell r="E400">
            <v>18</v>
          </cell>
          <cell r="F400">
            <v>18</v>
          </cell>
          <cell r="G400">
            <v>2438.0500000000002</v>
          </cell>
          <cell r="H400">
            <v>16791.04</v>
          </cell>
          <cell r="I400">
            <v>8777.6299999999992</v>
          </cell>
          <cell r="J400">
            <v>7800.76</v>
          </cell>
          <cell r="K400">
            <v>100</v>
          </cell>
          <cell r="L400">
            <v>15.25</v>
          </cell>
          <cell r="M400">
            <v>0.37</v>
          </cell>
          <cell r="N400">
            <v>10</v>
          </cell>
          <cell r="O400">
            <v>688.71</v>
          </cell>
        </row>
        <row r="401">
          <cell r="A401" t="str">
            <v>PDV_292025/8</v>
          </cell>
          <cell r="B401">
            <v>45870</v>
          </cell>
          <cell r="C401" t="str">
            <v>PDV_29</v>
          </cell>
          <cell r="D401" t="str">
            <v>MG</v>
          </cell>
          <cell r="E401">
            <v>24</v>
          </cell>
          <cell r="F401">
            <v>18</v>
          </cell>
          <cell r="G401">
            <v>2221.5100000000002</v>
          </cell>
          <cell r="H401">
            <v>16007.79</v>
          </cell>
          <cell r="I401">
            <v>13832.77</v>
          </cell>
          <cell r="J401">
            <v>1991.22</v>
          </cell>
          <cell r="K401">
            <v>100</v>
          </cell>
          <cell r="L401">
            <v>15.25</v>
          </cell>
          <cell r="M401">
            <v>0.37</v>
          </cell>
          <cell r="N401">
            <v>6</v>
          </cell>
          <cell r="O401">
            <v>720.58</v>
          </cell>
        </row>
        <row r="402">
          <cell r="A402" t="str">
            <v>PDV_302025/8</v>
          </cell>
          <cell r="B402">
            <v>45870</v>
          </cell>
          <cell r="C402" t="str">
            <v>PDV_30</v>
          </cell>
          <cell r="D402" t="str">
            <v>SP</v>
          </cell>
          <cell r="E402">
            <v>41</v>
          </cell>
          <cell r="F402">
            <v>18</v>
          </cell>
          <cell r="G402">
            <v>2527.02</v>
          </cell>
          <cell r="H402">
            <v>17847.53</v>
          </cell>
          <cell r="I402">
            <v>12944.49</v>
          </cell>
          <cell r="J402">
            <v>4774.55</v>
          </cell>
          <cell r="K402">
            <v>100</v>
          </cell>
          <cell r="L402">
            <v>15.25</v>
          </cell>
          <cell r="M402">
            <v>0.37</v>
          </cell>
          <cell r="N402">
            <v>15</v>
          </cell>
          <cell r="O402">
            <v>706.27</v>
          </cell>
        </row>
        <row r="403">
          <cell r="A403" t="str">
            <v>PDV_312025/8</v>
          </cell>
          <cell r="B403">
            <v>45870</v>
          </cell>
          <cell r="C403" t="str">
            <v>PDV_31</v>
          </cell>
          <cell r="D403" t="str">
            <v>SP</v>
          </cell>
          <cell r="E403">
            <v>9</v>
          </cell>
          <cell r="F403">
            <v>18</v>
          </cell>
          <cell r="G403">
            <v>2172.94</v>
          </cell>
          <cell r="H403">
            <v>11451.87</v>
          </cell>
          <cell r="I403">
            <v>5881.46</v>
          </cell>
          <cell r="J403">
            <v>5696</v>
          </cell>
          <cell r="L403">
            <v>15.25</v>
          </cell>
          <cell r="M403">
            <v>0.37</v>
          </cell>
          <cell r="N403">
            <v>15</v>
          </cell>
          <cell r="O403">
            <v>527.02</v>
          </cell>
        </row>
        <row r="404">
          <cell r="A404" t="str">
            <v>PDV_322025/8</v>
          </cell>
          <cell r="B404">
            <v>45870</v>
          </cell>
          <cell r="C404" t="str">
            <v>PDV_32</v>
          </cell>
          <cell r="D404" t="str">
            <v>SP</v>
          </cell>
          <cell r="E404">
            <v>32</v>
          </cell>
          <cell r="F404">
            <v>18</v>
          </cell>
          <cell r="G404">
            <v>2433.83</v>
          </cell>
          <cell r="H404">
            <v>11729.23</v>
          </cell>
          <cell r="I404">
            <v>5740.07</v>
          </cell>
          <cell r="J404">
            <v>6028.93</v>
          </cell>
          <cell r="K404">
            <v>100</v>
          </cell>
          <cell r="L404">
            <v>15.25</v>
          </cell>
          <cell r="M404">
            <v>0.37</v>
          </cell>
          <cell r="N404">
            <v>3</v>
          </cell>
          <cell r="O404">
            <v>481.93</v>
          </cell>
        </row>
        <row r="405">
          <cell r="A405" t="str">
            <v>PDV_332025/8</v>
          </cell>
          <cell r="B405">
            <v>45870</v>
          </cell>
          <cell r="C405" t="str">
            <v>PDV_33</v>
          </cell>
          <cell r="D405" t="str">
            <v>MG</v>
          </cell>
          <cell r="E405">
            <v>8</v>
          </cell>
          <cell r="F405">
            <v>18</v>
          </cell>
          <cell r="G405">
            <v>2372.83</v>
          </cell>
          <cell r="H405">
            <v>10049.5</v>
          </cell>
          <cell r="I405">
            <v>4569.2</v>
          </cell>
          <cell r="J405">
            <v>5261.95</v>
          </cell>
          <cell r="L405">
            <v>15.25</v>
          </cell>
          <cell r="M405">
            <v>0.37</v>
          </cell>
          <cell r="N405">
            <v>5</v>
          </cell>
          <cell r="O405">
            <v>423.52</v>
          </cell>
        </row>
        <row r="406">
          <cell r="A406" t="str">
            <v>PDV_342025/8</v>
          </cell>
          <cell r="B406">
            <v>45870</v>
          </cell>
          <cell r="C406" t="str">
            <v>PDV_34</v>
          </cell>
          <cell r="D406" t="str">
            <v>SP</v>
          </cell>
          <cell r="E406">
            <v>12</v>
          </cell>
          <cell r="F406">
            <v>18</v>
          </cell>
          <cell r="G406">
            <v>2615.02</v>
          </cell>
          <cell r="H406">
            <v>21101.79</v>
          </cell>
          <cell r="I406">
            <v>11921.68</v>
          </cell>
          <cell r="J406">
            <v>9074.0300000000007</v>
          </cell>
          <cell r="K406">
            <v>100</v>
          </cell>
          <cell r="L406">
            <v>15.25</v>
          </cell>
          <cell r="M406">
            <v>0.37</v>
          </cell>
          <cell r="N406">
            <v>1</v>
          </cell>
          <cell r="O406">
            <v>806.95</v>
          </cell>
        </row>
        <row r="407">
          <cell r="A407" t="str">
            <v>PDV_352025/8</v>
          </cell>
          <cell r="B407">
            <v>45870</v>
          </cell>
          <cell r="C407" t="str">
            <v>PDV_35</v>
          </cell>
          <cell r="D407" t="str">
            <v>SP</v>
          </cell>
          <cell r="E407">
            <v>6</v>
          </cell>
          <cell r="F407">
            <v>18</v>
          </cell>
          <cell r="G407">
            <v>2536.96</v>
          </cell>
          <cell r="H407">
            <v>25300.82</v>
          </cell>
          <cell r="I407">
            <v>18750.09</v>
          </cell>
          <cell r="J407">
            <v>6418.03</v>
          </cell>
          <cell r="L407">
            <v>15.25</v>
          </cell>
          <cell r="M407">
            <v>0.37</v>
          </cell>
          <cell r="N407">
            <v>11</v>
          </cell>
          <cell r="O407">
            <v>997.29</v>
          </cell>
        </row>
        <row r="408">
          <cell r="A408" t="str">
            <v>PDV_362025/8</v>
          </cell>
          <cell r="B408">
            <v>45870</v>
          </cell>
          <cell r="C408" t="str">
            <v>PDV_36</v>
          </cell>
          <cell r="D408" t="str">
            <v>SP</v>
          </cell>
          <cell r="E408">
            <v>19</v>
          </cell>
          <cell r="F408">
            <v>18</v>
          </cell>
          <cell r="G408">
            <v>2548</v>
          </cell>
          <cell r="H408">
            <v>14141.57</v>
          </cell>
          <cell r="I408">
            <v>9653.35</v>
          </cell>
          <cell r="J408">
            <v>4779.2</v>
          </cell>
          <cell r="K408">
            <v>100</v>
          </cell>
          <cell r="L408">
            <v>15.25</v>
          </cell>
          <cell r="M408">
            <v>0.37</v>
          </cell>
          <cell r="N408">
            <v>3</v>
          </cell>
          <cell r="O408">
            <v>555.01</v>
          </cell>
        </row>
        <row r="409">
          <cell r="A409" t="str">
            <v>PDV_372025/8</v>
          </cell>
          <cell r="B409">
            <v>45870</v>
          </cell>
          <cell r="C409" t="str">
            <v>PDV_37</v>
          </cell>
          <cell r="D409" t="str">
            <v>PR</v>
          </cell>
          <cell r="E409">
            <v>12</v>
          </cell>
          <cell r="F409">
            <v>18</v>
          </cell>
          <cell r="G409">
            <v>2523.69</v>
          </cell>
          <cell r="H409">
            <v>21409.85</v>
          </cell>
          <cell r="I409">
            <v>16433.240000000002</v>
          </cell>
          <cell r="J409">
            <v>5195.22</v>
          </cell>
          <cell r="K409">
            <v>100</v>
          </cell>
          <cell r="L409">
            <v>15.25</v>
          </cell>
          <cell r="M409">
            <v>0.37</v>
          </cell>
          <cell r="N409">
            <v>10</v>
          </cell>
          <cell r="O409">
            <v>848.36</v>
          </cell>
        </row>
        <row r="410">
          <cell r="A410" t="str">
            <v>PDV_382025/8</v>
          </cell>
          <cell r="B410">
            <v>45870</v>
          </cell>
          <cell r="C410" t="str">
            <v>PDV_38</v>
          </cell>
          <cell r="D410" t="str">
            <v>RS</v>
          </cell>
          <cell r="E410">
            <v>21</v>
          </cell>
          <cell r="F410">
            <v>18</v>
          </cell>
          <cell r="G410">
            <v>2565.12</v>
          </cell>
          <cell r="H410">
            <v>18218.88</v>
          </cell>
          <cell r="I410">
            <v>9271.76</v>
          </cell>
          <cell r="J410">
            <v>8932.2099999999991</v>
          </cell>
          <cell r="K410">
            <v>100</v>
          </cell>
          <cell r="L410">
            <v>15.25</v>
          </cell>
          <cell r="M410">
            <v>0.37</v>
          </cell>
          <cell r="N410">
            <v>13</v>
          </cell>
          <cell r="O410">
            <v>710.26</v>
          </cell>
        </row>
        <row r="411">
          <cell r="A411" t="str">
            <v>PDV_392025/8</v>
          </cell>
          <cell r="B411">
            <v>45870</v>
          </cell>
          <cell r="C411" t="str">
            <v>PDV_39</v>
          </cell>
          <cell r="D411" t="str">
            <v>SP</v>
          </cell>
          <cell r="E411">
            <v>7</v>
          </cell>
          <cell r="F411">
            <v>18</v>
          </cell>
          <cell r="G411">
            <v>2558.66</v>
          </cell>
          <cell r="H411">
            <v>13210.24</v>
          </cell>
          <cell r="I411">
            <v>10049.049999999999</v>
          </cell>
          <cell r="J411">
            <v>3231.43</v>
          </cell>
          <cell r="K411">
            <v>100</v>
          </cell>
          <cell r="L411">
            <v>15.25</v>
          </cell>
          <cell r="M411">
            <v>0.37</v>
          </cell>
          <cell r="N411">
            <v>19</v>
          </cell>
          <cell r="O411">
            <v>516.29999999999995</v>
          </cell>
        </row>
        <row r="412">
          <cell r="A412" t="str">
            <v>PDV_402025/8</v>
          </cell>
          <cell r="B412">
            <v>45870</v>
          </cell>
          <cell r="C412" t="str">
            <v>PDV_40</v>
          </cell>
          <cell r="D412" t="str">
            <v>PR</v>
          </cell>
          <cell r="E412">
            <v>46</v>
          </cell>
          <cell r="F412">
            <v>18</v>
          </cell>
          <cell r="G412">
            <v>2669.43</v>
          </cell>
          <cell r="H412">
            <v>18261.43</v>
          </cell>
          <cell r="I412">
            <v>14683.03</v>
          </cell>
          <cell r="J412">
            <v>3707.48</v>
          </cell>
          <cell r="K412">
            <v>100</v>
          </cell>
          <cell r="L412">
            <v>15.25</v>
          </cell>
          <cell r="M412">
            <v>0.37</v>
          </cell>
          <cell r="N412">
            <v>4</v>
          </cell>
          <cell r="O412">
            <v>684.1</v>
          </cell>
        </row>
        <row r="413">
          <cell r="A413" t="str">
            <v>PDV_412025/8</v>
          </cell>
          <cell r="B413">
            <v>45870</v>
          </cell>
          <cell r="C413" t="str">
            <v>PDV_41</v>
          </cell>
          <cell r="D413" t="str">
            <v>MG</v>
          </cell>
          <cell r="E413">
            <v>35</v>
          </cell>
          <cell r="F413">
            <v>18</v>
          </cell>
          <cell r="G413">
            <v>2373.6</v>
          </cell>
          <cell r="H413">
            <v>17982.990000000002</v>
          </cell>
          <cell r="I413">
            <v>12470.86</v>
          </cell>
          <cell r="J413">
            <v>5548.94</v>
          </cell>
          <cell r="K413">
            <v>100</v>
          </cell>
          <cell r="L413">
            <v>15.25</v>
          </cell>
          <cell r="M413">
            <v>0.37</v>
          </cell>
          <cell r="N413">
            <v>5</v>
          </cell>
          <cell r="O413">
            <v>757.62</v>
          </cell>
        </row>
        <row r="414">
          <cell r="A414" t="str">
            <v>PDV_422025/8</v>
          </cell>
          <cell r="B414">
            <v>45870</v>
          </cell>
          <cell r="C414" t="str">
            <v>PDV_42</v>
          </cell>
          <cell r="D414" t="str">
            <v>SP</v>
          </cell>
          <cell r="E414">
            <v>24</v>
          </cell>
          <cell r="F414">
            <v>18</v>
          </cell>
          <cell r="G414">
            <v>2097.17</v>
          </cell>
          <cell r="H414">
            <v>11177.2</v>
          </cell>
          <cell r="I414">
            <v>6371.41</v>
          </cell>
          <cell r="J414">
            <v>4704.6000000000004</v>
          </cell>
          <cell r="K414">
            <v>100</v>
          </cell>
          <cell r="L414">
            <v>15.25</v>
          </cell>
          <cell r="M414">
            <v>0.37</v>
          </cell>
          <cell r="N414">
            <v>1</v>
          </cell>
          <cell r="O414">
            <v>532.97</v>
          </cell>
        </row>
        <row r="415">
          <cell r="A415" t="str">
            <v>PDV_432025/8</v>
          </cell>
          <cell r="B415">
            <v>45870</v>
          </cell>
          <cell r="C415" t="str">
            <v>PDV_43</v>
          </cell>
          <cell r="D415" t="str">
            <v>MG</v>
          </cell>
          <cell r="E415">
            <v>39</v>
          </cell>
          <cell r="F415">
            <v>18</v>
          </cell>
          <cell r="G415">
            <v>2471.33</v>
          </cell>
          <cell r="H415">
            <v>14706.92</v>
          </cell>
          <cell r="I415">
            <v>11985.76</v>
          </cell>
          <cell r="J415">
            <v>2963.05</v>
          </cell>
          <cell r="K415">
            <v>100</v>
          </cell>
          <cell r="L415">
            <v>15.25</v>
          </cell>
          <cell r="M415">
            <v>0.37</v>
          </cell>
          <cell r="N415">
            <v>2</v>
          </cell>
          <cell r="O415">
            <v>595.1</v>
          </cell>
        </row>
        <row r="416">
          <cell r="A416" t="str">
            <v>PDV_442025/8</v>
          </cell>
          <cell r="B416">
            <v>45870</v>
          </cell>
          <cell r="C416" t="str">
            <v>PDV_44</v>
          </cell>
          <cell r="D416" t="str">
            <v>RS</v>
          </cell>
          <cell r="E416">
            <v>32</v>
          </cell>
          <cell r="F416">
            <v>18</v>
          </cell>
          <cell r="G416">
            <v>2692.01</v>
          </cell>
          <cell r="H416">
            <v>18116.8</v>
          </cell>
          <cell r="I416">
            <v>14075.73</v>
          </cell>
          <cell r="J416">
            <v>4134.5600000000004</v>
          </cell>
          <cell r="K416">
            <v>100</v>
          </cell>
          <cell r="L416">
            <v>15.25</v>
          </cell>
          <cell r="M416">
            <v>0.37</v>
          </cell>
          <cell r="N416">
            <v>13</v>
          </cell>
          <cell r="O416">
            <v>672.98</v>
          </cell>
        </row>
        <row r="417">
          <cell r="A417" t="str">
            <v>PDV_452025/8</v>
          </cell>
          <cell r="B417">
            <v>45870</v>
          </cell>
          <cell r="C417" t="str">
            <v>PDV_45</v>
          </cell>
          <cell r="D417" t="str">
            <v>PE</v>
          </cell>
          <cell r="E417">
            <v>35</v>
          </cell>
          <cell r="F417">
            <v>18</v>
          </cell>
          <cell r="G417">
            <v>2078.4299999999998</v>
          </cell>
          <cell r="H417">
            <v>16911.8</v>
          </cell>
          <cell r="I417">
            <v>7431.33</v>
          </cell>
          <cell r="J417">
            <v>9553.86</v>
          </cell>
          <cell r="K417">
            <v>100</v>
          </cell>
          <cell r="L417">
            <v>15.25</v>
          </cell>
          <cell r="M417">
            <v>0.37</v>
          </cell>
          <cell r="N417">
            <v>7</v>
          </cell>
          <cell r="O417">
            <v>813.68</v>
          </cell>
        </row>
        <row r="418">
          <cell r="A418" t="str">
            <v>PDV_462025/8</v>
          </cell>
          <cell r="B418">
            <v>45870</v>
          </cell>
          <cell r="C418" t="str">
            <v>PDV_46</v>
          </cell>
          <cell r="D418" t="str">
            <v>PE</v>
          </cell>
          <cell r="E418">
            <v>44</v>
          </cell>
          <cell r="F418">
            <v>18</v>
          </cell>
          <cell r="G418">
            <v>2502.4299999999998</v>
          </cell>
          <cell r="H418">
            <v>17194.310000000001</v>
          </cell>
          <cell r="I418">
            <v>8566.1299999999992</v>
          </cell>
          <cell r="J418">
            <v>8480.02</v>
          </cell>
          <cell r="K418">
            <v>100</v>
          </cell>
          <cell r="L418">
            <v>15.25</v>
          </cell>
          <cell r="M418">
            <v>0.37</v>
          </cell>
          <cell r="N418">
            <v>3</v>
          </cell>
          <cell r="O418">
            <v>687.1</v>
          </cell>
        </row>
        <row r="419">
          <cell r="A419" t="str">
            <v>PDV_472025/8</v>
          </cell>
          <cell r="B419">
            <v>45870</v>
          </cell>
          <cell r="C419" t="str">
            <v>PDV_47</v>
          </cell>
          <cell r="D419" t="str">
            <v>RJ</v>
          </cell>
          <cell r="E419">
            <v>50</v>
          </cell>
          <cell r="F419">
            <v>18</v>
          </cell>
          <cell r="G419">
            <v>2645.84</v>
          </cell>
          <cell r="H419">
            <v>17778.23</v>
          </cell>
          <cell r="I419">
            <v>11500.44</v>
          </cell>
          <cell r="J419">
            <v>6394.39</v>
          </cell>
          <cell r="K419">
            <v>100</v>
          </cell>
          <cell r="L419">
            <v>15.25</v>
          </cell>
          <cell r="M419">
            <v>0.37</v>
          </cell>
          <cell r="N419">
            <v>8</v>
          </cell>
          <cell r="O419">
            <v>671.93</v>
          </cell>
        </row>
        <row r="420">
          <cell r="A420" t="str">
            <v>PDV_482025/8</v>
          </cell>
          <cell r="B420">
            <v>45870</v>
          </cell>
          <cell r="C420" t="str">
            <v>PDV_48</v>
          </cell>
          <cell r="D420" t="str">
            <v>DF</v>
          </cell>
          <cell r="E420">
            <v>43</v>
          </cell>
          <cell r="F420">
            <v>18</v>
          </cell>
          <cell r="G420">
            <v>2470.13</v>
          </cell>
          <cell r="H420">
            <v>17278.580000000002</v>
          </cell>
          <cell r="I420">
            <v>13233.51</v>
          </cell>
          <cell r="J420">
            <v>4185.91</v>
          </cell>
          <cell r="K420">
            <v>100</v>
          </cell>
          <cell r="L420">
            <v>15.25</v>
          </cell>
          <cell r="M420">
            <v>0.37</v>
          </cell>
          <cell r="N420">
            <v>17</v>
          </cell>
          <cell r="O420">
            <v>699.5</v>
          </cell>
        </row>
        <row r="421">
          <cell r="A421" t="str">
            <v>PDV_492025/8</v>
          </cell>
          <cell r="B421">
            <v>45870</v>
          </cell>
          <cell r="C421" t="str">
            <v>PDV_49</v>
          </cell>
          <cell r="D421" t="str">
            <v>MG</v>
          </cell>
          <cell r="E421">
            <v>49</v>
          </cell>
          <cell r="F421">
            <v>18</v>
          </cell>
          <cell r="G421">
            <v>2362.58</v>
          </cell>
          <cell r="H421">
            <v>12034.46</v>
          </cell>
          <cell r="I421">
            <v>7628.44</v>
          </cell>
          <cell r="J421">
            <v>4427.78</v>
          </cell>
          <cell r="K421">
            <v>100</v>
          </cell>
          <cell r="L421">
            <v>15.25</v>
          </cell>
          <cell r="M421">
            <v>0.37</v>
          </cell>
          <cell r="N421">
            <v>11</v>
          </cell>
          <cell r="O421">
            <v>509.38</v>
          </cell>
        </row>
        <row r="422">
          <cell r="A422" t="str">
            <v>PDV_502025/8</v>
          </cell>
          <cell r="B422">
            <v>45870</v>
          </cell>
          <cell r="C422" t="str">
            <v>PDV_50</v>
          </cell>
          <cell r="D422" t="str">
            <v>RJ</v>
          </cell>
          <cell r="E422">
            <v>23</v>
          </cell>
          <cell r="F422">
            <v>18</v>
          </cell>
          <cell r="G422">
            <v>2329.7800000000002</v>
          </cell>
          <cell r="H422">
            <v>21169.4</v>
          </cell>
          <cell r="I422">
            <v>13349.63</v>
          </cell>
          <cell r="J422">
            <v>7848.35</v>
          </cell>
          <cell r="K422">
            <v>100</v>
          </cell>
          <cell r="L422">
            <v>15.25</v>
          </cell>
          <cell r="M422">
            <v>0.37</v>
          </cell>
          <cell r="N422">
            <v>11</v>
          </cell>
          <cell r="O422">
            <v>908.64</v>
          </cell>
        </row>
        <row r="423">
          <cell r="A423" t="str">
            <v>PDV_512025/8</v>
          </cell>
          <cell r="B423">
            <v>45870</v>
          </cell>
          <cell r="C423" t="str">
            <v>PDV_51</v>
          </cell>
          <cell r="D423" t="str">
            <v>MG</v>
          </cell>
          <cell r="E423">
            <v>5</v>
          </cell>
          <cell r="F423">
            <v>18</v>
          </cell>
          <cell r="G423">
            <v>2463.77</v>
          </cell>
          <cell r="H423">
            <v>18691.38</v>
          </cell>
          <cell r="I423">
            <v>12250.23</v>
          </cell>
          <cell r="J423">
            <v>6758.89</v>
          </cell>
          <cell r="K423">
            <v>100</v>
          </cell>
          <cell r="L423">
            <v>15.25</v>
          </cell>
          <cell r="M423">
            <v>0.37</v>
          </cell>
          <cell r="N423">
            <v>10</v>
          </cell>
          <cell r="O423">
            <v>758.65</v>
          </cell>
        </row>
        <row r="424">
          <cell r="A424" t="str">
            <v>PDV_522025/8</v>
          </cell>
          <cell r="B424">
            <v>45870</v>
          </cell>
          <cell r="C424" t="str">
            <v>PDV_52</v>
          </cell>
          <cell r="D424" t="str">
            <v>RJ</v>
          </cell>
          <cell r="E424">
            <v>39</v>
          </cell>
          <cell r="F424">
            <v>18</v>
          </cell>
          <cell r="G424">
            <v>2499.9699999999998</v>
          </cell>
          <cell r="H424">
            <v>15032.73</v>
          </cell>
          <cell r="I424">
            <v>12784.07</v>
          </cell>
          <cell r="J424">
            <v>2274.36</v>
          </cell>
          <cell r="K424">
            <v>100</v>
          </cell>
          <cell r="L424">
            <v>15.25</v>
          </cell>
          <cell r="M424">
            <v>0.37</v>
          </cell>
          <cell r="N424">
            <v>14</v>
          </cell>
          <cell r="O424">
            <v>601.32000000000005</v>
          </cell>
        </row>
        <row r="425">
          <cell r="A425" t="str">
            <v>PDV_532025/8</v>
          </cell>
          <cell r="B425">
            <v>45870</v>
          </cell>
          <cell r="C425" t="str">
            <v>PDV_53</v>
          </cell>
          <cell r="D425" t="str">
            <v>SP</v>
          </cell>
          <cell r="E425">
            <v>15</v>
          </cell>
          <cell r="F425">
            <v>18</v>
          </cell>
          <cell r="G425">
            <v>2548.5100000000002</v>
          </cell>
          <cell r="H425">
            <v>10706.11</v>
          </cell>
          <cell r="I425">
            <v>9442.7099999999991</v>
          </cell>
          <cell r="J425">
            <v>1157.8599999999999</v>
          </cell>
          <cell r="K425">
            <v>100</v>
          </cell>
          <cell r="L425">
            <v>15.25</v>
          </cell>
          <cell r="M425">
            <v>0.37</v>
          </cell>
          <cell r="N425">
            <v>13</v>
          </cell>
          <cell r="O425">
            <v>420.09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5"/>
  <sheetViews>
    <sheetView tabSelected="1" workbookViewId="0">
      <selection activeCell="G2" sqref="G2"/>
    </sheetView>
  </sheetViews>
  <sheetFormatPr defaultRowHeight="15" x14ac:dyDescent="0.25"/>
  <cols>
    <col min="4" max="4" width="11.7109375" bestFit="1" customWidth="1"/>
    <col min="5" max="5" width="16.7109375" bestFit="1" customWidth="1"/>
    <col min="6" max="6" width="10.85546875" customWidth="1"/>
    <col min="7" max="7" width="17.42578125" customWidth="1"/>
  </cols>
  <sheetData>
    <row r="1" spans="1:7" x14ac:dyDescent="0.25">
      <c r="B1" s="1" t="s">
        <v>0</v>
      </c>
      <c r="C1" s="1" t="s">
        <v>56</v>
      </c>
      <c r="D1" s="1" t="s">
        <v>1</v>
      </c>
      <c r="E1" s="1" t="s">
        <v>2</v>
      </c>
    </row>
    <row r="2" spans="1:7" x14ac:dyDescent="0.25">
      <c r="A2" t="str">
        <f>B2&amp;C2&amp;"/"&amp;D2</f>
        <v>PDV_12025/1</v>
      </c>
      <c r="B2" t="s">
        <v>3</v>
      </c>
      <c r="C2">
        <v>2025</v>
      </c>
      <c r="D2">
        <v>1</v>
      </c>
      <c r="E2">
        <v>20691.450572810769</v>
      </c>
      <c r="F2">
        <f>VLOOKUP(A2,[1]Planilha1!$A:$O,8,0)</f>
        <v>27705.19</v>
      </c>
      <c r="G2" s="2">
        <f>F2/E2</f>
        <v>1.3389679907896601</v>
      </c>
    </row>
    <row r="3" spans="1:7" x14ac:dyDescent="0.25">
      <c r="A3" t="str">
        <f t="shared" ref="A3:A66" si="0">B3&amp;C3&amp;"/"&amp;D3</f>
        <v>PDV_12025/2</v>
      </c>
      <c r="B3" t="s">
        <v>3</v>
      </c>
      <c r="C3">
        <v>2025</v>
      </c>
      <c r="D3">
        <v>2</v>
      </c>
      <c r="E3">
        <v>21962.149462006691</v>
      </c>
      <c r="F3">
        <f>VLOOKUP(A3,[1]Planilha1!$A:$O,8,0)</f>
        <v>18525.830000000002</v>
      </c>
      <c r="G3" s="2">
        <f t="shared" ref="G3:G66" si="1">F3/E3</f>
        <v>0.84353446515099384</v>
      </c>
    </row>
    <row r="4" spans="1:7" x14ac:dyDescent="0.25">
      <c r="A4" t="str">
        <f t="shared" si="0"/>
        <v>PDV_12025/3</v>
      </c>
      <c r="B4" t="s">
        <v>3</v>
      </c>
      <c r="C4">
        <v>2025</v>
      </c>
      <c r="D4">
        <v>3</v>
      </c>
      <c r="E4">
        <v>21592.835955224629</v>
      </c>
      <c r="F4">
        <f>VLOOKUP(A4,[1]Planilha1!$A:$O,8,0)</f>
        <v>16323.49</v>
      </c>
      <c r="G4" s="2">
        <f t="shared" si="1"/>
        <v>0.7559678605371124</v>
      </c>
    </row>
    <row r="5" spans="1:7" x14ac:dyDescent="0.25">
      <c r="A5" t="str">
        <f t="shared" si="0"/>
        <v>PDV_12025/4</v>
      </c>
      <c r="B5" t="s">
        <v>3</v>
      </c>
      <c r="C5">
        <v>2025</v>
      </c>
      <c r="D5">
        <v>4</v>
      </c>
      <c r="E5">
        <v>20871.699969298839</v>
      </c>
      <c r="F5">
        <f>VLOOKUP(A5,[1]Planilha1!$A:$O,8,0)</f>
        <v>28481.59</v>
      </c>
      <c r="G5" s="2">
        <f t="shared" si="1"/>
        <v>1.3646032686314438</v>
      </c>
    </row>
    <row r="6" spans="1:7" x14ac:dyDescent="0.25">
      <c r="A6" t="str">
        <f t="shared" si="0"/>
        <v>PDV_12025/5</v>
      </c>
      <c r="B6" t="s">
        <v>3</v>
      </c>
      <c r="C6">
        <v>2025</v>
      </c>
      <c r="D6">
        <v>5</v>
      </c>
      <c r="E6">
        <v>20222.500780872699</v>
      </c>
      <c r="F6">
        <f>VLOOKUP(A6,[1]Planilha1!$A:$O,8,0)</f>
        <v>29804.85</v>
      </c>
      <c r="G6" s="2">
        <f t="shared" si="1"/>
        <v>1.4738459067431806</v>
      </c>
    </row>
    <row r="7" spans="1:7" x14ac:dyDescent="0.25">
      <c r="A7" t="str">
        <f t="shared" si="0"/>
        <v>PDV_12025/6</v>
      </c>
      <c r="B7" t="s">
        <v>3</v>
      </c>
      <c r="C7">
        <v>2025</v>
      </c>
      <c r="D7">
        <v>6</v>
      </c>
      <c r="E7">
        <v>19967.033922724131</v>
      </c>
      <c r="F7">
        <f>VLOOKUP(A7,[1]Planilha1!$A:$O,8,0)</f>
        <v>19504.77</v>
      </c>
      <c r="G7" s="2">
        <f t="shared" si="1"/>
        <v>0.97684864339324651</v>
      </c>
    </row>
    <row r="8" spans="1:7" x14ac:dyDescent="0.25">
      <c r="A8" t="str">
        <f t="shared" si="0"/>
        <v>PDV_12025/7</v>
      </c>
      <c r="B8" t="s">
        <v>3</v>
      </c>
      <c r="C8">
        <v>2025</v>
      </c>
      <c r="D8">
        <v>7</v>
      </c>
      <c r="E8">
        <v>19448.534990973469</v>
      </c>
      <c r="F8">
        <f>VLOOKUP(A8,[1]Planilha1!$A:$O,8,0)</f>
        <v>34613.519999999997</v>
      </c>
      <c r="G8" s="2">
        <f t="shared" si="1"/>
        <v>1.7797494781002765</v>
      </c>
    </row>
    <row r="9" spans="1:7" x14ac:dyDescent="0.25">
      <c r="A9" t="str">
        <f t="shared" si="0"/>
        <v>PDV_12025/8</v>
      </c>
      <c r="B9" t="s">
        <v>3</v>
      </c>
      <c r="C9">
        <v>2025</v>
      </c>
      <c r="D9">
        <v>8</v>
      </c>
      <c r="E9">
        <v>19624.5232277137</v>
      </c>
      <c r="F9">
        <f>VLOOKUP(A9,[1]Planilha1!$A:$O,8,0)</f>
        <v>12601.65</v>
      </c>
      <c r="G9" s="2">
        <f t="shared" si="1"/>
        <v>0.64213789317459613</v>
      </c>
    </row>
    <row r="10" spans="1:7" x14ac:dyDescent="0.25">
      <c r="A10" t="str">
        <f t="shared" si="0"/>
        <v>PDV_102025/1</v>
      </c>
      <c r="B10" t="s">
        <v>4</v>
      </c>
      <c r="C10">
        <v>2025</v>
      </c>
      <c r="D10">
        <v>1</v>
      </c>
      <c r="E10">
        <v>28482.11606319308</v>
      </c>
      <c r="F10">
        <f>VLOOKUP(A10,[1]Planilha1!$A:$O,8,0)</f>
        <v>17589.59</v>
      </c>
      <c r="G10" s="2">
        <f t="shared" si="1"/>
        <v>0.61756612328150395</v>
      </c>
    </row>
    <row r="11" spans="1:7" x14ac:dyDescent="0.25">
      <c r="A11" t="str">
        <f t="shared" si="0"/>
        <v>PDV_102025/2</v>
      </c>
      <c r="B11" t="s">
        <v>4</v>
      </c>
      <c r="C11">
        <v>2025</v>
      </c>
      <c r="D11">
        <v>2</v>
      </c>
      <c r="E11">
        <v>29325.870422266718</v>
      </c>
      <c r="F11">
        <f>VLOOKUP(A11,[1]Planilha1!$A:$O,8,0)</f>
        <v>12135.56</v>
      </c>
      <c r="G11" s="2">
        <f t="shared" si="1"/>
        <v>0.41381755512312568</v>
      </c>
    </row>
    <row r="12" spans="1:7" x14ac:dyDescent="0.25">
      <c r="A12" t="str">
        <f t="shared" si="0"/>
        <v>PDV_102025/3</v>
      </c>
      <c r="B12" t="s">
        <v>4</v>
      </c>
      <c r="C12">
        <v>2025</v>
      </c>
      <c r="D12">
        <v>3</v>
      </c>
      <c r="E12">
        <v>29050.224641450641</v>
      </c>
      <c r="F12">
        <f>VLOOKUP(A12,[1]Planilha1!$A:$O,8,0)</f>
        <v>19933.77</v>
      </c>
      <c r="G12" s="2">
        <f t="shared" si="1"/>
        <v>0.68618298984019821</v>
      </c>
    </row>
    <row r="13" spans="1:7" x14ac:dyDescent="0.25">
      <c r="A13" t="str">
        <f t="shared" si="0"/>
        <v>PDV_102025/4</v>
      </c>
      <c r="B13" t="s">
        <v>4</v>
      </c>
      <c r="C13">
        <v>2025</v>
      </c>
      <c r="D13">
        <v>4</v>
      </c>
      <c r="E13">
        <v>28842.011490435601</v>
      </c>
      <c r="F13">
        <f>VLOOKUP(A13,[1]Planilha1!$A:$O,8,0)</f>
        <v>22173.69</v>
      </c>
      <c r="G13" s="2">
        <f t="shared" si="1"/>
        <v>0.76879832071882681</v>
      </c>
    </row>
    <row r="14" spans="1:7" x14ac:dyDescent="0.25">
      <c r="A14" t="str">
        <f t="shared" si="0"/>
        <v>PDV_102025/5</v>
      </c>
      <c r="B14" t="s">
        <v>4</v>
      </c>
      <c r="C14">
        <v>2025</v>
      </c>
      <c r="D14">
        <v>5</v>
      </c>
      <c r="E14">
        <v>28020.664791584011</v>
      </c>
      <c r="F14">
        <f>VLOOKUP(A14,[1]Planilha1!$A:$O,8,0)</f>
        <v>23381.96</v>
      </c>
      <c r="G14" s="2">
        <f t="shared" si="1"/>
        <v>0.83445414924712125</v>
      </c>
    </row>
    <row r="15" spans="1:7" x14ac:dyDescent="0.25">
      <c r="A15" t="str">
        <f t="shared" si="0"/>
        <v>PDV_102025/6</v>
      </c>
      <c r="B15" t="s">
        <v>4</v>
      </c>
      <c r="C15">
        <v>2025</v>
      </c>
      <c r="D15">
        <v>6</v>
      </c>
      <c r="E15">
        <v>27286.137631779911</v>
      </c>
      <c r="F15">
        <f>VLOOKUP(A15,[1]Planilha1!$A:$O,8,0)</f>
        <v>32174.57</v>
      </c>
      <c r="G15" s="2">
        <f t="shared" si="1"/>
        <v>1.1791544275774148</v>
      </c>
    </row>
    <row r="16" spans="1:7" x14ac:dyDescent="0.25">
      <c r="A16" t="str">
        <f t="shared" si="0"/>
        <v>PDV_102025/7</v>
      </c>
      <c r="B16" t="s">
        <v>4</v>
      </c>
      <c r="C16">
        <v>2025</v>
      </c>
      <c r="D16">
        <v>7</v>
      </c>
      <c r="E16">
        <v>26903.063576529021</v>
      </c>
      <c r="F16">
        <f>VLOOKUP(A16,[1]Planilha1!$A:$O,8,0)</f>
        <v>31500.799999999999</v>
      </c>
      <c r="G16" s="2">
        <f t="shared" si="1"/>
        <v>1.1709001062422559</v>
      </c>
    </row>
    <row r="17" spans="1:7" x14ac:dyDescent="0.25">
      <c r="A17" t="str">
        <f t="shared" si="0"/>
        <v>PDV_102025/8</v>
      </c>
      <c r="B17" t="s">
        <v>4</v>
      </c>
      <c r="C17">
        <v>2025</v>
      </c>
      <c r="D17">
        <v>8</v>
      </c>
      <c r="E17">
        <v>27428.72158641219</v>
      </c>
      <c r="F17">
        <f>VLOOKUP(A17,[1]Planilha1!$A:$O,8,0)</f>
        <v>13688.51</v>
      </c>
      <c r="G17" s="2">
        <f t="shared" si="1"/>
        <v>0.49905752832392669</v>
      </c>
    </row>
    <row r="18" spans="1:7" x14ac:dyDescent="0.25">
      <c r="A18" t="str">
        <f t="shared" si="0"/>
        <v>PDV_112025/1</v>
      </c>
      <c r="B18" t="s">
        <v>5</v>
      </c>
      <c r="C18">
        <v>2025</v>
      </c>
      <c r="D18">
        <v>1</v>
      </c>
      <c r="E18">
        <v>20636.866684122379</v>
      </c>
      <c r="F18">
        <f>VLOOKUP(A18,[1]Planilha1!$A:$O,8,0)</f>
        <v>23398.21</v>
      </c>
      <c r="G18" s="2">
        <f t="shared" si="1"/>
        <v>1.1338063262288818</v>
      </c>
    </row>
    <row r="19" spans="1:7" x14ac:dyDescent="0.25">
      <c r="A19" t="str">
        <f t="shared" si="0"/>
        <v>PDV_112025/2</v>
      </c>
      <c r="B19" t="s">
        <v>5</v>
      </c>
      <c r="C19">
        <v>2025</v>
      </c>
      <c r="D19">
        <v>2</v>
      </c>
      <c r="E19">
        <v>21248.659185469151</v>
      </c>
      <c r="F19">
        <f>VLOOKUP(A19,[1]Planilha1!$A:$O,8,0)</f>
        <v>12171.43</v>
      </c>
      <c r="G19" s="2">
        <f t="shared" si="1"/>
        <v>0.57280931910863375</v>
      </c>
    </row>
    <row r="20" spans="1:7" x14ac:dyDescent="0.25">
      <c r="A20" t="str">
        <f t="shared" si="0"/>
        <v>PDV_112025/3</v>
      </c>
      <c r="B20" t="s">
        <v>5</v>
      </c>
      <c r="C20">
        <v>2025</v>
      </c>
      <c r="D20">
        <v>3</v>
      </c>
      <c r="E20">
        <v>20996.482271616162</v>
      </c>
      <c r="F20">
        <f>VLOOKUP(A20,[1]Planilha1!$A:$O,8,0)</f>
        <v>11433.33</v>
      </c>
      <c r="G20" s="2">
        <f t="shared" si="1"/>
        <v>0.5445355013328117</v>
      </c>
    </row>
    <row r="21" spans="1:7" x14ac:dyDescent="0.25">
      <c r="A21" t="str">
        <f t="shared" si="0"/>
        <v>PDV_112025/4</v>
      </c>
      <c r="B21" t="s">
        <v>5</v>
      </c>
      <c r="C21">
        <v>2025</v>
      </c>
      <c r="D21">
        <v>4</v>
      </c>
      <c r="E21">
        <v>20544.002232335512</v>
      </c>
      <c r="F21">
        <f>VLOOKUP(A21,[1]Planilha1!$A:$O,8,0)</f>
        <v>16467.47</v>
      </c>
      <c r="G21" s="2">
        <f t="shared" si="1"/>
        <v>0.80157068782249263</v>
      </c>
    </row>
    <row r="22" spans="1:7" x14ac:dyDescent="0.25">
      <c r="A22" t="str">
        <f t="shared" si="0"/>
        <v>PDV_112025/5</v>
      </c>
      <c r="B22" t="s">
        <v>5</v>
      </c>
      <c r="C22">
        <v>2025</v>
      </c>
      <c r="D22">
        <v>5</v>
      </c>
      <c r="E22">
        <v>20097.64646084905</v>
      </c>
      <c r="F22">
        <f>VLOOKUP(A22,[1]Planilha1!$A:$O,8,0)</f>
        <v>26618.560000000001</v>
      </c>
      <c r="G22" s="2">
        <f t="shared" si="1"/>
        <v>1.3244615508514357</v>
      </c>
    </row>
    <row r="23" spans="1:7" x14ac:dyDescent="0.25">
      <c r="A23" t="str">
        <f t="shared" si="0"/>
        <v>PDV_112025/6</v>
      </c>
      <c r="B23" t="s">
        <v>5</v>
      </c>
      <c r="C23">
        <v>2025</v>
      </c>
      <c r="D23">
        <v>6</v>
      </c>
      <c r="E23">
        <v>19722.282587434351</v>
      </c>
      <c r="F23">
        <f>VLOOKUP(A23,[1]Planilha1!$A:$O,8,0)</f>
        <v>23884.89</v>
      </c>
      <c r="G23" s="2">
        <f t="shared" si="1"/>
        <v>1.2110611382892247</v>
      </c>
    </row>
    <row r="24" spans="1:7" x14ac:dyDescent="0.25">
      <c r="A24" t="str">
        <f t="shared" si="0"/>
        <v>PDV_112025/7</v>
      </c>
      <c r="B24" t="s">
        <v>5</v>
      </c>
      <c r="C24">
        <v>2025</v>
      </c>
      <c r="D24">
        <v>7</v>
      </c>
      <c r="E24">
        <v>19326.05131978244</v>
      </c>
      <c r="F24">
        <f>VLOOKUP(A24,[1]Planilha1!$A:$O,8,0)</f>
        <v>20866.2</v>
      </c>
      <c r="G24" s="2">
        <f t="shared" si="1"/>
        <v>1.0796928795610223</v>
      </c>
    </row>
    <row r="25" spans="1:7" x14ac:dyDescent="0.25">
      <c r="A25" t="str">
        <f t="shared" si="0"/>
        <v>PDV_112025/8</v>
      </c>
      <c r="B25" t="s">
        <v>5</v>
      </c>
      <c r="C25">
        <v>2025</v>
      </c>
      <c r="D25">
        <v>8</v>
      </c>
      <c r="E25">
        <v>19670.706449054182</v>
      </c>
      <c r="F25">
        <f>VLOOKUP(A25,[1]Planilha1!$A:$O,8,0)</f>
        <v>21595.9</v>
      </c>
      <c r="G25" s="2">
        <f t="shared" si="1"/>
        <v>1.0978710935436886</v>
      </c>
    </row>
    <row r="26" spans="1:7" x14ac:dyDescent="0.25">
      <c r="A26" t="str">
        <f t="shared" si="0"/>
        <v>PDV_122025/1</v>
      </c>
      <c r="B26" t="s">
        <v>6</v>
      </c>
      <c r="C26">
        <v>2025</v>
      </c>
      <c r="D26">
        <v>1</v>
      </c>
      <c r="E26">
        <v>21155.501681299211</v>
      </c>
      <c r="F26">
        <f>VLOOKUP(A26,[1]Planilha1!$A:$O,8,0)</f>
        <v>13591.61</v>
      </c>
      <c r="G26" s="2">
        <f t="shared" si="1"/>
        <v>0.64246219280228889</v>
      </c>
    </row>
    <row r="27" spans="1:7" x14ac:dyDescent="0.25">
      <c r="A27" t="str">
        <f t="shared" si="0"/>
        <v>PDV_122025/2</v>
      </c>
      <c r="B27" t="s">
        <v>6</v>
      </c>
      <c r="C27">
        <v>2025</v>
      </c>
      <c r="D27">
        <v>2</v>
      </c>
      <c r="E27">
        <v>22462.017689411041</v>
      </c>
      <c r="F27">
        <f>VLOOKUP(A27,[1]Planilha1!$A:$O,8,0)</f>
        <v>17158.57</v>
      </c>
      <c r="G27" s="2">
        <f t="shared" si="1"/>
        <v>0.76389264033430204</v>
      </c>
    </row>
    <row r="28" spans="1:7" x14ac:dyDescent="0.25">
      <c r="A28" t="str">
        <f t="shared" si="0"/>
        <v>PDV_122025/3</v>
      </c>
      <c r="B28" t="s">
        <v>6</v>
      </c>
      <c r="C28">
        <v>2025</v>
      </c>
      <c r="D28">
        <v>3</v>
      </c>
      <c r="E28">
        <v>21959.515615732671</v>
      </c>
      <c r="F28">
        <f>VLOOKUP(A28,[1]Planilha1!$A:$O,8,0)</f>
        <v>18542.54</v>
      </c>
      <c r="G28" s="2">
        <f t="shared" si="1"/>
        <v>0.8443965852650861</v>
      </c>
    </row>
    <row r="29" spans="1:7" x14ac:dyDescent="0.25">
      <c r="A29" t="str">
        <f t="shared" si="0"/>
        <v>PDV_122025/4</v>
      </c>
      <c r="B29" t="s">
        <v>6</v>
      </c>
      <c r="C29">
        <v>2025</v>
      </c>
      <c r="D29">
        <v>4</v>
      </c>
      <c r="E29">
        <v>20927.9985354048</v>
      </c>
      <c r="F29">
        <f>VLOOKUP(A29,[1]Planilha1!$A:$O,8,0)</f>
        <v>17356.54</v>
      </c>
      <c r="G29" s="2">
        <f t="shared" si="1"/>
        <v>0.82934543265746086</v>
      </c>
    </row>
    <row r="30" spans="1:7" x14ac:dyDescent="0.25">
      <c r="A30" t="str">
        <f t="shared" si="0"/>
        <v>PDV_122025/5</v>
      </c>
      <c r="B30" t="s">
        <v>6</v>
      </c>
      <c r="C30">
        <v>2025</v>
      </c>
      <c r="D30">
        <v>5</v>
      </c>
      <c r="E30">
        <v>20008.840553997161</v>
      </c>
      <c r="F30">
        <f>VLOOKUP(A30,[1]Planilha1!$A:$O,8,0)</f>
        <v>33477.379999999997</v>
      </c>
      <c r="G30" s="2">
        <f t="shared" si="1"/>
        <v>1.6731294304462949</v>
      </c>
    </row>
    <row r="31" spans="1:7" x14ac:dyDescent="0.25">
      <c r="A31" t="str">
        <f t="shared" si="0"/>
        <v>PDV_122025/6</v>
      </c>
      <c r="B31" t="s">
        <v>6</v>
      </c>
      <c r="C31">
        <v>2025</v>
      </c>
      <c r="D31">
        <v>6</v>
      </c>
      <c r="E31">
        <v>18959.772044749261</v>
      </c>
      <c r="F31">
        <f>VLOOKUP(A31,[1]Planilha1!$A:$O,8,0)</f>
        <v>17359.34</v>
      </c>
      <c r="G31" s="2">
        <f t="shared" si="1"/>
        <v>0.91558801229403564</v>
      </c>
    </row>
    <row r="32" spans="1:7" x14ac:dyDescent="0.25">
      <c r="A32" t="str">
        <f t="shared" si="0"/>
        <v>PDV_122025/7</v>
      </c>
      <c r="B32" t="s">
        <v>6</v>
      </c>
      <c r="C32">
        <v>2025</v>
      </c>
      <c r="D32">
        <v>7</v>
      </c>
      <c r="E32">
        <v>18247.43958607435</v>
      </c>
      <c r="F32">
        <f>VLOOKUP(A32,[1]Planilha1!$A:$O,8,0)</f>
        <v>28402.32</v>
      </c>
      <c r="G32" s="2">
        <f t="shared" si="1"/>
        <v>1.5565098799765535</v>
      </c>
    </row>
    <row r="33" spans="1:7" x14ac:dyDescent="0.25">
      <c r="A33" t="str">
        <f t="shared" si="0"/>
        <v>PDV_122025/8</v>
      </c>
      <c r="B33" t="s">
        <v>6</v>
      </c>
      <c r="C33">
        <v>2025</v>
      </c>
      <c r="D33">
        <v>8</v>
      </c>
      <c r="E33">
        <v>18617.96280085266</v>
      </c>
      <c r="F33">
        <f>VLOOKUP(A33,[1]Planilha1!$A:$O,8,0)</f>
        <v>19934.240000000002</v>
      </c>
      <c r="G33" s="2">
        <f t="shared" si="1"/>
        <v>1.0706993140563725</v>
      </c>
    </row>
    <row r="34" spans="1:7" x14ac:dyDescent="0.25">
      <c r="A34" t="str">
        <f t="shared" si="0"/>
        <v>PDV_132025/1</v>
      </c>
      <c r="B34" t="s">
        <v>7</v>
      </c>
      <c r="C34">
        <v>2025</v>
      </c>
      <c r="D34">
        <v>1</v>
      </c>
      <c r="E34">
        <v>20955.71224623263</v>
      </c>
      <c r="F34">
        <f>VLOOKUP(A34,[1]Planilha1!$A:$O,8,0)</f>
        <v>21244.62</v>
      </c>
      <c r="G34" s="2">
        <f t="shared" si="1"/>
        <v>1.0137865871783627</v>
      </c>
    </row>
    <row r="35" spans="1:7" x14ac:dyDescent="0.25">
      <c r="A35" t="str">
        <f t="shared" si="0"/>
        <v>PDV_132025/2</v>
      </c>
      <c r="B35" t="s">
        <v>7</v>
      </c>
      <c r="C35">
        <v>2025</v>
      </c>
      <c r="D35">
        <v>2</v>
      </c>
      <c r="E35">
        <v>23569.91475587368</v>
      </c>
      <c r="F35">
        <f>VLOOKUP(A35,[1]Planilha1!$A:$O,8,0)</f>
        <v>19868.98</v>
      </c>
      <c r="G35" s="2">
        <f t="shared" si="1"/>
        <v>0.84298056254312936</v>
      </c>
    </row>
    <row r="36" spans="1:7" x14ac:dyDescent="0.25">
      <c r="A36" t="str">
        <f t="shared" si="0"/>
        <v>PDV_132025/3</v>
      </c>
      <c r="B36" t="s">
        <v>7</v>
      </c>
      <c r="C36">
        <v>2025</v>
      </c>
      <c r="D36">
        <v>3</v>
      </c>
      <c r="E36">
        <v>24692.88186714828</v>
      </c>
      <c r="F36">
        <f>VLOOKUP(A36,[1]Planilha1!$A:$O,8,0)</f>
        <v>7820.83</v>
      </c>
      <c r="G36" s="2">
        <f t="shared" si="1"/>
        <v>0.31672406817792015</v>
      </c>
    </row>
    <row r="37" spans="1:7" x14ac:dyDescent="0.25">
      <c r="A37" t="str">
        <f t="shared" si="0"/>
        <v>PDV_132025/4</v>
      </c>
      <c r="B37" t="s">
        <v>7</v>
      </c>
      <c r="C37">
        <v>2025</v>
      </c>
      <c r="D37">
        <v>4</v>
      </c>
      <c r="E37">
        <v>25681.447063649299</v>
      </c>
      <c r="F37">
        <f>VLOOKUP(A37,[1]Planilha1!$A:$O,8,0)</f>
        <v>26889.919999999998</v>
      </c>
      <c r="G37" s="2">
        <f t="shared" si="1"/>
        <v>1.0470562633544598</v>
      </c>
    </row>
    <row r="38" spans="1:7" x14ac:dyDescent="0.25">
      <c r="A38" t="str">
        <f t="shared" si="0"/>
        <v>PDV_132025/5</v>
      </c>
      <c r="B38" t="s">
        <v>7</v>
      </c>
      <c r="C38">
        <v>2025</v>
      </c>
      <c r="D38">
        <v>5</v>
      </c>
      <c r="E38">
        <v>26234.719030977489</v>
      </c>
      <c r="F38">
        <f>VLOOKUP(A38,[1]Planilha1!$A:$O,8,0)</f>
        <v>21424.01</v>
      </c>
      <c r="G38" s="2">
        <f t="shared" si="1"/>
        <v>0.81662814740660683</v>
      </c>
    </row>
    <row r="39" spans="1:7" x14ac:dyDescent="0.25">
      <c r="A39" t="str">
        <f t="shared" si="0"/>
        <v>PDV_132025/6</v>
      </c>
      <c r="B39" t="s">
        <v>7</v>
      </c>
      <c r="C39">
        <v>2025</v>
      </c>
      <c r="D39">
        <v>6</v>
      </c>
      <c r="E39">
        <v>26425.83370967567</v>
      </c>
      <c r="F39">
        <f>VLOOKUP(A39,[1]Planilha1!$A:$O,8,0)</f>
        <v>15095.29</v>
      </c>
      <c r="G39" s="2">
        <f t="shared" si="1"/>
        <v>0.57123230872647723</v>
      </c>
    </row>
    <row r="40" spans="1:7" x14ac:dyDescent="0.25">
      <c r="A40" t="str">
        <f t="shared" si="0"/>
        <v>PDV_132025/7</v>
      </c>
      <c r="B40" t="s">
        <v>7</v>
      </c>
      <c r="C40">
        <v>2025</v>
      </c>
      <c r="D40">
        <v>7</v>
      </c>
      <c r="E40">
        <v>26231.33995869934</v>
      </c>
      <c r="F40">
        <f>VLOOKUP(A40,[1]Planilha1!$A:$O,8,0)</f>
        <v>26469.27</v>
      </c>
      <c r="G40" s="2">
        <f t="shared" si="1"/>
        <v>1.0090704493813611</v>
      </c>
    </row>
    <row r="41" spans="1:7" x14ac:dyDescent="0.25">
      <c r="A41" t="str">
        <f t="shared" si="0"/>
        <v>PDV_132025/8</v>
      </c>
      <c r="B41" t="s">
        <v>7</v>
      </c>
      <c r="C41">
        <v>2025</v>
      </c>
      <c r="D41">
        <v>8</v>
      </c>
      <c r="E41">
        <v>26057.228147746329</v>
      </c>
      <c r="F41">
        <f>VLOOKUP(A41,[1]Planilha1!$A:$O,8,0)</f>
        <v>20890.32</v>
      </c>
      <c r="G41" s="2">
        <f t="shared" si="1"/>
        <v>0.80170921793946792</v>
      </c>
    </row>
    <row r="42" spans="1:7" x14ac:dyDescent="0.25">
      <c r="A42" t="str">
        <f t="shared" si="0"/>
        <v>PDV_142025/1</v>
      </c>
      <c r="B42" t="s">
        <v>8</v>
      </c>
      <c r="C42">
        <v>2025</v>
      </c>
      <c r="D42">
        <v>1</v>
      </c>
      <c r="E42">
        <v>21268.42462381005</v>
      </c>
      <c r="F42">
        <f>VLOOKUP(A42,[1]Planilha1!$A:$O,8,0)</f>
        <v>21578.1</v>
      </c>
      <c r="G42" s="2">
        <f t="shared" si="1"/>
        <v>1.014560334470813</v>
      </c>
    </row>
    <row r="43" spans="1:7" x14ac:dyDescent="0.25">
      <c r="A43" t="str">
        <f t="shared" si="0"/>
        <v>PDV_142025/2</v>
      </c>
      <c r="B43" t="s">
        <v>8</v>
      </c>
      <c r="C43">
        <v>2025</v>
      </c>
      <c r="D43">
        <v>2</v>
      </c>
      <c r="E43">
        <v>21140.745645449158</v>
      </c>
      <c r="F43">
        <f>VLOOKUP(A43,[1]Planilha1!$A:$O,8,0)</f>
        <v>21054.92</v>
      </c>
      <c r="G43" s="2">
        <f t="shared" si="1"/>
        <v>0.99594027349420211</v>
      </c>
    </row>
    <row r="44" spans="1:7" x14ac:dyDescent="0.25">
      <c r="A44" t="str">
        <f t="shared" si="0"/>
        <v>PDV_142025/3</v>
      </c>
      <c r="B44" t="s">
        <v>8</v>
      </c>
      <c r="C44">
        <v>2025</v>
      </c>
      <c r="D44">
        <v>3</v>
      </c>
      <c r="E44">
        <v>20185.872226136918</v>
      </c>
      <c r="F44">
        <f>VLOOKUP(A44,[1]Planilha1!$A:$O,8,0)</f>
        <v>9540.48</v>
      </c>
      <c r="G44" s="2">
        <f t="shared" si="1"/>
        <v>0.4726315461190162</v>
      </c>
    </row>
    <row r="45" spans="1:7" x14ac:dyDescent="0.25">
      <c r="A45" t="str">
        <f t="shared" si="0"/>
        <v>PDV_142025/4</v>
      </c>
      <c r="B45" t="s">
        <v>8</v>
      </c>
      <c r="C45">
        <v>2025</v>
      </c>
      <c r="D45">
        <v>4</v>
      </c>
      <c r="E45">
        <v>18569.93137170911</v>
      </c>
      <c r="F45">
        <f>VLOOKUP(A45,[1]Planilha1!$A:$O,8,0)</f>
        <v>23315.42</v>
      </c>
      <c r="G45" s="2">
        <f t="shared" si="1"/>
        <v>1.2555469125492051</v>
      </c>
    </row>
    <row r="46" spans="1:7" x14ac:dyDescent="0.25">
      <c r="A46" t="str">
        <f t="shared" si="0"/>
        <v>PDV_142025/5</v>
      </c>
      <c r="B46" t="s">
        <v>8</v>
      </c>
      <c r="C46">
        <v>2025</v>
      </c>
      <c r="D46">
        <v>5</v>
      </c>
      <c r="E46">
        <v>17246.182422869198</v>
      </c>
      <c r="F46">
        <f>VLOOKUP(A46,[1]Planilha1!$A:$O,8,0)</f>
        <v>13280.17</v>
      </c>
      <c r="G46" s="2">
        <f t="shared" si="1"/>
        <v>0.77003534314874866</v>
      </c>
    </row>
    <row r="47" spans="1:7" x14ac:dyDescent="0.25">
      <c r="A47" t="str">
        <f t="shared" si="0"/>
        <v>PDV_142025/6</v>
      </c>
      <c r="B47" t="s">
        <v>8</v>
      </c>
      <c r="C47">
        <v>2025</v>
      </c>
      <c r="D47">
        <v>6</v>
      </c>
      <c r="E47">
        <v>16129.01667525232</v>
      </c>
      <c r="F47">
        <f>VLOOKUP(A47,[1]Planilha1!$A:$O,8,0)</f>
        <v>29807.53</v>
      </c>
      <c r="G47" s="2">
        <f t="shared" si="1"/>
        <v>1.848068645482611</v>
      </c>
    </row>
    <row r="48" spans="1:7" x14ac:dyDescent="0.25">
      <c r="A48" t="str">
        <f t="shared" si="0"/>
        <v>PDV_142025/7</v>
      </c>
      <c r="B48" t="s">
        <v>8</v>
      </c>
      <c r="C48">
        <v>2025</v>
      </c>
      <c r="D48">
        <v>7</v>
      </c>
      <c r="E48">
        <v>15404.816530765291</v>
      </c>
      <c r="F48">
        <f>VLOOKUP(A48,[1]Planilha1!$A:$O,8,0)</f>
        <v>21449.84</v>
      </c>
      <c r="G48" s="2">
        <f t="shared" si="1"/>
        <v>1.3924112602809688</v>
      </c>
    </row>
    <row r="49" spans="1:7" x14ac:dyDescent="0.25">
      <c r="A49" t="str">
        <f t="shared" si="0"/>
        <v>PDV_142025/8</v>
      </c>
      <c r="B49" t="s">
        <v>8</v>
      </c>
      <c r="C49">
        <v>2025</v>
      </c>
      <c r="D49">
        <v>8</v>
      </c>
      <c r="E49">
        <v>16079.881581171159</v>
      </c>
      <c r="F49">
        <f>VLOOKUP(A49,[1]Planilha1!$A:$O,8,0)</f>
        <v>12407.51</v>
      </c>
      <c r="G49" s="2">
        <f t="shared" si="1"/>
        <v>0.7716170008694998</v>
      </c>
    </row>
    <row r="50" spans="1:7" x14ac:dyDescent="0.25">
      <c r="A50" t="str">
        <f t="shared" si="0"/>
        <v>PDV_152025/1</v>
      </c>
      <c r="B50" t="s">
        <v>9</v>
      </c>
      <c r="C50">
        <v>2025</v>
      </c>
      <c r="D50">
        <v>1</v>
      </c>
      <c r="E50">
        <v>21187.650875167848</v>
      </c>
      <c r="F50">
        <f>VLOOKUP(A50,[1]Planilha1!$A:$O,8,0)</f>
        <v>13893.3</v>
      </c>
      <c r="G50" s="2">
        <f t="shared" si="1"/>
        <v>0.65572630405587318</v>
      </c>
    </row>
    <row r="51" spans="1:7" x14ac:dyDescent="0.25">
      <c r="A51" t="str">
        <f t="shared" si="0"/>
        <v>PDV_152025/2</v>
      </c>
      <c r="B51" t="s">
        <v>9</v>
      </c>
      <c r="C51">
        <v>2025</v>
      </c>
      <c r="D51">
        <v>2</v>
      </c>
      <c r="E51">
        <v>20629.904608449939</v>
      </c>
      <c r="F51">
        <f>VLOOKUP(A51,[1]Planilha1!$A:$O,8,0)</f>
        <v>12706.93</v>
      </c>
      <c r="G51" s="2">
        <f t="shared" si="1"/>
        <v>0.61594710403049002</v>
      </c>
    </row>
    <row r="52" spans="1:7" x14ac:dyDescent="0.25">
      <c r="A52" t="str">
        <f t="shared" si="0"/>
        <v>PDV_152025/3</v>
      </c>
      <c r="B52" t="s">
        <v>9</v>
      </c>
      <c r="C52">
        <v>2025</v>
      </c>
      <c r="D52">
        <v>3</v>
      </c>
      <c r="E52">
        <v>19942.40331082344</v>
      </c>
      <c r="F52">
        <f>VLOOKUP(A52,[1]Planilha1!$A:$O,8,0)</f>
        <v>15728.6</v>
      </c>
      <c r="G52" s="2">
        <f t="shared" si="1"/>
        <v>0.78870132926574299</v>
      </c>
    </row>
    <row r="53" spans="1:7" x14ac:dyDescent="0.25">
      <c r="A53" t="str">
        <f t="shared" si="0"/>
        <v>PDV_152025/4</v>
      </c>
      <c r="B53" t="s">
        <v>9</v>
      </c>
      <c r="C53">
        <v>2025</v>
      </c>
      <c r="D53">
        <v>4</v>
      </c>
      <c r="E53">
        <v>19649.136640214921</v>
      </c>
      <c r="F53">
        <f>VLOOKUP(A53,[1]Planilha1!$A:$O,8,0)</f>
        <v>24902.11</v>
      </c>
      <c r="G53" s="2">
        <f t="shared" si="1"/>
        <v>1.2673386345654534</v>
      </c>
    </row>
    <row r="54" spans="1:7" x14ac:dyDescent="0.25">
      <c r="A54" t="str">
        <f t="shared" si="0"/>
        <v>PDV_152025/5</v>
      </c>
      <c r="B54" t="s">
        <v>9</v>
      </c>
      <c r="C54">
        <v>2025</v>
      </c>
      <c r="D54">
        <v>5</v>
      </c>
      <c r="E54">
        <v>19639.242852125171</v>
      </c>
      <c r="F54">
        <f>VLOOKUP(A54,[1]Planilha1!$A:$O,8,0)</f>
        <v>24000.720000000001</v>
      </c>
      <c r="G54" s="2">
        <f t="shared" si="1"/>
        <v>1.2220796993404903</v>
      </c>
    </row>
    <row r="55" spans="1:7" x14ac:dyDescent="0.25">
      <c r="A55" t="str">
        <f t="shared" si="0"/>
        <v>PDV_152025/6</v>
      </c>
      <c r="B55" t="s">
        <v>9</v>
      </c>
      <c r="C55">
        <v>2025</v>
      </c>
      <c r="D55">
        <v>6</v>
      </c>
      <c r="E55">
        <v>19681.532947478299</v>
      </c>
      <c r="F55">
        <f>VLOOKUP(A55,[1]Planilha1!$A:$O,8,0)</f>
        <v>30380.61</v>
      </c>
      <c r="G55" s="2">
        <f t="shared" si="1"/>
        <v>1.543609945478994</v>
      </c>
    </row>
    <row r="56" spans="1:7" x14ac:dyDescent="0.25">
      <c r="A56" t="str">
        <f t="shared" si="0"/>
        <v>PDV_152025/7</v>
      </c>
      <c r="B56" t="s">
        <v>9</v>
      </c>
      <c r="C56">
        <v>2025</v>
      </c>
      <c r="D56">
        <v>7</v>
      </c>
      <c r="E56">
        <v>19750.293265352251</v>
      </c>
      <c r="F56">
        <f>VLOOKUP(A56,[1]Planilha1!$A:$O,8,0)</f>
        <v>27518.11</v>
      </c>
      <c r="G56" s="2">
        <f t="shared" si="1"/>
        <v>1.3933013363540661</v>
      </c>
    </row>
    <row r="57" spans="1:7" x14ac:dyDescent="0.25">
      <c r="A57" t="str">
        <f t="shared" si="0"/>
        <v>PDV_152025/8</v>
      </c>
      <c r="B57" t="s">
        <v>9</v>
      </c>
      <c r="C57">
        <v>2025</v>
      </c>
      <c r="D57">
        <v>8</v>
      </c>
      <c r="E57">
        <v>20014.97662368774</v>
      </c>
      <c r="F57">
        <f>VLOOKUP(A57,[1]Planilha1!$A:$O,8,0)</f>
        <v>15360.74</v>
      </c>
      <c r="G57" s="2">
        <f t="shared" si="1"/>
        <v>0.76746230029669638</v>
      </c>
    </row>
    <row r="58" spans="1:7" x14ac:dyDescent="0.25">
      <c r="A58" t="str">
        <f t="shared" si="0"/>
        <v>PDV_162025/1</v>
      </c>
      <c r="B58" t="s">
        <v>10</v>
      </c>
      <c r="C58">
        <v>2025</v>
      </c>
      <c r="D58">
        <v>1</v>
      </c>
      <c r="E58">
        <v>24613.76223760844</v>
      </c>
      <c r="F58">
        <f>VLOOKUP(A58,[1]Planilha1!$A:$O,8,0)</f>
        <v>16622.77</v>
      </c>
      <c r="G58" s="2">
        <f t="shared" si="1"/>
        <v>0.67534454259907273</v>
      </c>
    </row>
    <row r="59" spans="1:7" x14ac:dyDescent="0.25">
      <c r="A59" t="str">
        <f t="shared" si="0"/>
        <v>PDV_162025/2</v>
      </c>
      <c r="B59" t="s">
        <v>10</v>
      </c>
      <c r="C59">
        <v>2025</v>
      </c>
      <c r="D59">
        <v>2</v>
      </c>
      <c r="E59">
        <v>24076.103863499171</v>
      </c>
      <c r="F59">
        <f>VLOOKUP(A59,[1]Planilha1!$A:$O,8,0)</f>
        <v>13931.57</v>
      </c>
      <c r="G59" s="2">
        <f t="shared" si="1"/>
        <v>0.5786471963647366</v>
      </c>
    </row>
    <row r="60" spans="1:7" x14ac:dyDescent="0.25">
      <c r="A60" t="str">
        <f t="shared" si="0"/>
        <v>PDV_162025/3</v>
      </c>
      <c r="B60" t="s">
        <v>10</v>
      </c>
      <c r="C60">
        <v>2025</v>
      </c>
      <c r="D60">
        <v>3</v>
      </c>
      <c r="E60">
        <v>23153.82709744692</v>
      </c>
      <c r="F60">
        <f>VLOOKUP(A60,[1]Planilha1!$A:$O,8,0)</f>
        <v>7399.16</v>
      </c>
      <c r="G60" s="2">
        <f t="shared" si="1"/>
        <v>0.31956531284695805</v>
      </c>
    </row>
    <row r="61" spans="1:7" x14ac:dyDescent="0.25">
      <c r="A61" t="str">
        <f t="shared" si="0"/>
        <v>PDV_162025/4</v>
      </c>
      <c r="B61" t="s">
        <v>10</v>
      </c>
      <c r="C61">
        <v>2025</v>
      </c>
      <c r="D61">
        <v>4</v>
      </c>
      <c r="E61">
        <v>22486.21593687058</v>
      </c>
      <c r="F61">
        <f>VLOOKUP(A61,[1]Planilha1!$A:$O,8,0)</f>
        <v>34579.800000000003</v>
      </c>
      <c r="G61" s="2">
        <f t="shared" si="1"/>
        <v>1.5378221083121242</v>
      </c>
    </row>
    <row r="62" spans="1:7" x14ac:dyDescent="0.25">
      <c r="A62" t="str">
        <f t="shared" si="0"/>
        <v>PDV_162025/5</v>
      </c>
      <c r="B62" t="s">
        <v>10</v>
      </c>
      <c r="C62">
        <v>2025</v>
      </c>
      <c r="D62">
        <v>5</v>
      </c>
      <c r="E62">
        <v>21762.990210374599</v>
      </c>
      <c r="F62">
        <f>VLOOKUP(A62,[1]Planilha1!$A:$O,8,0)</f>
        <v>16740.2</v>
      </c>
      <c r="G62" s="2">
        <f t="shared" si="1"/>
        <v>0.76920495934514588</v>
      </c>
    </row>
    <row r="63" spans="1:7" x14ac:dyDescent="0.25">
      <c r="A63" t="str">
        <f t="shared" si="0"/>
        <v>PDV_162025/6</v>
      </c>
      <c r="B63" t="s">
        <v>10</v>
      </c>
      <c r="C63">
        <v>2025</v>
      </c>
      <c r="D63">
        <v>6</v>
      </c>
      <c r="E63">
        <v>21183.70158289075</v>
      </c>
      <c r="F63">
        <f>VLOOKUP(A63,[1]Planilha1!$A:$O,8,0)</f>
        <v>12249.46</v>
      </c>
      <c r="G63" s="2">
        <f t="shared" si="1"/>
        <v>0.57824927112329649</v>
      </c>
    </row>
    <row r="64" spans="1:7" x14ac:dyDescent="0.25">
      <c r="A64" t="str">
        <f t="shared" si="0"/>
        <v>PDV_162025/7</v>
      </c>
      <c r="B64" t="s">
        <v>10</v>
      </c>
      <c r="C64">
        <v>2025</v>
      </c>
      <c r="D64">
        <v>7</v>
      </c>
      <c r="E64">
        <v>20709.759407104251</v>
      </c>
      <c r="F64">
        <f>VLOOKUP(A64,[1]Planilha1!$A:$O,8,0)</f>
        <v>14171.17</v>
      </c>
      <c r="G64" s="2">
        <f t="shared" si="1"/>
        <v>0.68427497014469119</v>
      </c>
    </row>
    <row r="65" spans="1:7" x14ac:dyDescent="0.25">
      <c r="A65" t="str">
        <f t="shared" si="0"/>
        <v>PDV_162025/8</v>
      </c>
      <c r="B65" t="s">
        <v>10</v>
      </c>
      <c r="C65">
        <v>2025</v>
      </c>
      <c r="D65">
        <v>8</v>
      </c>
      <c r="E65">
        <v>21717.694901200539</v>
      </c>
      <c r="F65">
        <f>VLOOKUP(A65,[1]Planilha1!$A:$O,8,0)</f>
        <v>10621.38</v>
      </c>
      <c r="G65" s="2">
        <f t="shared" si="1"/>
        <v>0.48906571569033586</v>
      </c>
    </row>
    <row r="66" spans="1:7" x14ac:dyDescent="0.25">
      <c r="A66" t="str">
        <f t="shared" si="0"/>
        <v>PDV_172025/1</v>
      </c>
      <c r="B66" t="s">
        <v>11</v>
      </c>
      <c r="C66">
        <v>2025</v>
      </c>
      <c r="D66">
        <v>1</v>
      </c>
      <c r="E66">
        <v>24448.76183637738</v>
      </c>
      <c r="F66">
        <f>VLOOKUP(A66,[1]Planilha1!$A:$O,8,0)</f>
        <v>13148.64</v>
      </c>
      <c r="G66" s="2">
        <f t="shared" si="1"/>
        <v>0.53780392185080317</v>
      </c>
    </row>
    <row r="67" spans="1:7" x14ac:dyDescent="0.25">
      <c r="A67" t="str">
        <f t="shared" ref="A67:A130" si="2">B67&amp;C67&amp;"/"&amp;D67</f>
        <v>PDV_172025/2</v>
      </c>
      <c r="B67" t="s">
        <v>11</v>
      </c>
      <c r="C67">
        <v>2025</v>
      </c>
      <c r="D67">
        <v>2</v>
      </c>
      <c r="E67">
        <v>23392.955203658341</v>
      </c>
      <c r="F67">
        <f>VLOOKUP(A67,[1]Planilha1!$A:$O,8,0)</f>
        <v>18406.04</v>
      </c>
      <c r="G67" s="2">
        <f t="shared" ref="G67:G130" si="3">F67/E67</f>
        <v>0.78681978569007582</v>
      </c>
    </row>
    <row r="68" spans="1:7" x14ac:dyDescent="0.25">
      <c r="A68" t="str">
        <f t="shared" si="2"/>
        <v>PDV_172025/3</v>
      </c>
      <c r="B68" t="s">
        <v>11</v>
      </c>
      <c r="C68">
        <v>2025</v>
      </c>
      <c r="D68">
        <v>3</v>
      </c>
      <c r="E68">
        <v>22782.765228129629</v>
      </c>
      <c r="F68">
        <f>VLOOKUP(A68,[1]Planilha1!$A:$O,8,0)</f>
        <v>12408.17</v>
      </c>
      <c r="G68" s="2">
        <f t="shared" si="3"/>
        <v>0.54462967404324425</v>
      </c>
    </row>
    <row r="69" spans="1:7" x14ac:dyDescent="0.25">
      <c r="A69" t="str">
        <f t="shared" si="2"/>
        <v>PDV_172025/4</v>
      </c>
      <c r="B69" t="s">
        <v>11</v>
      </c>
      <c r="C69">
        <v>2025</v>
      </c>
      <c r="D69">
        <v>4</v>
      </c>
      <c r="E69">
        <v>22485.237753971822</v>
      </c>
      <c r="F69">
        <f>VLOOKUP(A69,[1]Planilha1!$A:$O,8,0)</f>
        <v>22269.88</v>
      </c>
      <c r="G69" s="2">
        <f t="shared" si="3"/>
        <v>0.99042226031460223</v>
      </c>
    </row>
    <row r="70" spans="1:7" x14ac:dyDescent="0.25">
      <c r="A70" t="str">
        <f t="shared" si="2"/>
        <v>PDV_172025/5</v>
      </c>
      <c r="B70" t="s">
        <v>11</v>
      </c>
      <c r="C70">
        <v>2025</v>
      </c>
      <c r="D70">
        <v>5</v>
      </c>
      <c r="E70">
        <v>21860.45105429352</v>
      </c>
      <c r="F70">
        <f>VLOOKUP(A70,[1]Planilha1!$A:$O,8,0)</f>
        <v>16149.52</v>
      </c>
      <c r="G70" s="2">
        <f t="shared" si="3"/>
        <v>0.7387551135102558</v>
      </c>
    </row>
    <row r="71" spans="1:7" x14ac:dyDescent="0.25">
      <c r="A71" t="str">
        <f t="shared" si="2"/>
        <v>PDV_172025/6</v>
      </c>
      <c r="B71" t="s">
        <v>11</v>
      </c>
      <c r="C71">
        <v>2025</v>
      </c>
      <c r="D71">
        <v>6</v>
      </c>
      <c r="E71">
        <v>21839.041780999902</v>
      </c>
      <c r="F71">
        <f>VLOOKUP(A71,[1]Planilha1!$A:$O,8,0)</f>
        <v>26529.599999999999</v>
      </c>
      <c r="G71" s="2">
        <f t="shared" si="3"/>
        <v>1.2147785725233107</v>
      </c>
    </row>
    <row r="72" spans="1:7" x14ac:dyDescent="0.25">
      <c r="A72" t="str">
        <f t="shared" si="2"/>
        <v>PDV_172025/7</v>
      </c>
      <c r="B72" t="s">
        <v>11</v>
      </c>
      <c r="C72">
        <v>2025</v>
      </c>
      <c r="D72">
        <v>7</v>
      </c>
      <c r="E72">
        <v>21566.198070970178</v>
      </c>
      <c r="F72">
        <f>VLOOKUP(A72,[1]Planilha1!$A:$O,8,0)</f>
        <v>19304.099999999999</v>
      </c>
      <c r="G72" s="2">
        <f t="shared" si="3"/>
        <v>0.89510909324276566</v>
      </c>
    </row>
    <row r="73" spans="1:7" x14ac:dyDescent="0.25">
      <c r="A73" t="str">
        <f t="shared" si="2"/>
        <v>PDV_172025/8</v>
      </c>
      <c r="B73" t="s">
        <v>11</v>
      </c>
      <c r="C73">
        <v>2025</v>
      </c>
      <c r="D73">
        <v>8</v>
      </c>
      <c r="E73">
        <v>22123.560636726619</v>
      </c>
      <c r="F73">
        <f>VLOOKUP(A73,[1]Planilha1!$A:$O,8,0)</f>
        <v>11141.7</v>
      </c>
      <c r="G73" s="2">
        <f t="shared" si="3"/>
        <v>0.50361242401026618</v>
      </c>
    </row>
    <row r="74" spans="1:7" x14ac:dyDescent="0.25">
      <c r="A74" t="str">
        <f t="shared" si="2"/>
        <v>PDV_182025/1</v>
      </c>
      <c r="B74" t="s">
        <v>12</v>
      </c>
      <c r="C74">
        <v>2025</v>
      </c>
      <c r="D74">
        <v>1</v>
      </c>
      <c r="E74">
        <v>27094.709769759171</v>
      </c>
      <c r="F74">
        <f>VLOOKUP(A74,[1]Planilha1!$A:$O,8,0)</f>
        <v>23419.4</v>
      </c>
      <c r="G74" s="2">
        <f t="shared" si="3"/>
        <v>0.86435323349131277</v>
      </c>
    </row>
    <row r="75" spans="1:7" x14ac:dyDescent="0.25">
      <c r="A75" t="str">
        <f t="shared" si="2"/>
        <v>PDV_182025/2</v>
      </c>
      <c r="B75" t="s">
        <v>12</v>
      </c>
      <c r="C75">
        <v>2025</v>
      </c>
      <c r="D75">
        <v>2</v>
      </c>
      <c r="E75">
        <v>25332.59914172053</v>
      </c>
      <c r="F75">
        <f>VLOOKUP(A75,[1]Planilha1!$A:$O,8,0)</f>
        <v>21016.07</v>
      </c>
      <c r="G75" s="2">
        <f t="shared" si="3"/>
        <v>0.82960575353629662</v>
      </c>
    </row>
    <row r="76" spans="1:7" x14ac:dyDescent="0.25">
      <c r="A76" t="str">
        <f t="shared" si="2"/>
        <v>PDV_182025/3</v>
      </c>
      <c r="B76" t="s">
        <v>12</v>
      </c>
      <c r="C76">
        <v>2025</v>
      </c>
      <c r="D76">
        <v>3</v>
      </c>
      <c r="E76">
        <v>24605.806259731049</v>
      </c>
      <c r="F76">
        <f>VLOOKUP(A76,[1]Planilha1!$A:$O,8,0)</f>
        <v>13485.59</v>
      </c>
      <c r="G76" s="2">
        <f t="shared" si="3"/>
        <v>0.54806535732462536</v>
      </c>
    </row>
    <row r="77" spans="1:7" x14ac:dyDescent="0.25">
      <c r="A77" t="str">
        <f t="shared" si="2"/>
        <v>PDV_182025/4</v>
      </c>
      <c r="B77" t="s">
        <v>12</v>
      </c>
      <c r="C77">
        <v>2025</v>
      </c>
      <c r="D77">
        <v>4</v>
      </c>
      <c r="E77">
        <v>24137.312134653919</v>
      </c>
      <c r="F77">
        <f>VLOOKUP(A77,[1]Planilha1!$A:$O,8,0)</f>
        <v>32862.67</v>
      </c>
      <c r="G77" s="2">
        <f t="shared" si="3"/>
        <v>1.3614883801754831</v>
      </c>
    </row>
    <row r="78" spans="1:7" x14ac:dyDescent="0.25">
      <c r="A78" t="str">
        <f t="shared" si="2"/>
        <v>PDV_182025/5</v>
      </c>
      <c r="B78" t="s">
        <v>12</v>
      </c>
      <c r="C78">
        <v>2025</v>
      </c>
      <c r="D78">
        <v>5</v>
      </c>
      <c r="E78">
        <v>23664.988792071341</v>
      </c>
      <c r="F78">
        <f>VLOOKUP(A78,[1]Planilha1!$A:$O,8,0)</f>
        <v>16545.400000000001</v>
      </c>
      <c r="G78" s="2">
        <f t="shared" si="3"/>
        <v>0.69915097553493588</v>
      </c>
    </row>
    <row r="79" spans="1:7" x14ac:dyDescent="0.25">
      <c r="A79" t="str">
        <f t="shared" si="2"/>
        <v>PDV_182025/6</v>
      </c>
      <c r="B79" t="s">
        <v>12</v>
      </c>
      <c r="C79">
        <v>2025</v>
      </c>
      <c r="D79">
        <v>6</v>
      </c>
      <c r="E79">
        <v>23539.61429137945</v>
      </c>
      <c r="F79">
        <f>VLOOKUP(A79,[1]Planilha1!$A:$O,8,0)</f>
        <v>30653.14</v>
      </c>
      <c r="G79" s="2">
        <f t="shared" si="3"/>
        <v>1.3021938091494398</v>
      </c>
    </row>
    <row r="80" spans="1:7" x14ac:dyDescent="0.25">
      <c r="A80" t="str">
        <f t="shared" si="2"/>
        <v>PDV_182025/7</v>
      </c>
      <c r="B80" t="s">
        <v>12</v>
      </c>
      <c r="C80">
        <v>2025</v>
      </c>
      <c r="D80">
        <v>7</v>
      </c>
      <c r="E80">
        <v>23492.1791658318</v>
      </c>
      <c r="F80">
        <f>VLOOKUP(A80,[1]Planilha1!$A:$O,8,0)</f>
        <v>22367.61</v>
      </c>
      <c r="G80" s="2">
        <f t="shared" si="3"/>
        <v>0.95213006175827963</v>
      </c>
    </row>
    <row r="81" spans="1:7" x14ac:dyDescent="0.25">
      <c r="A81" t="str">
        <f t="shared" si="2"/>
        <v>PDV_182025/8</v>
      </c>
      <c r="B81" t="s">
        <v>12</v>
      </c>
      <c r="C81">
        <v>2025</v>
      </c>
      <c r="D81">
        <v>8</v>
      </c>
      <c r="E81">
        <v>24041.29728049993</v>
      </c>
      <c r="F81">
        <f>VLOOKUP(A81,[1]Planilha1!$A:$O,8,0)</f>
        <v>14230.79</v>
      </c>
      <c r="G81" s="2">
        <f t="shared" si="3"/>
        <v>0.59193103574916894</v>
      </c>
    </row>
    <row r="82" spans="1:7" x14ac:dyDescent="0.25">
      <c r="A82" t="str">
        <f t="shared" si="2"/>
        <v>PDV_192025/1</v>
      </c>
      <c r="B82" t="s">
        <v>13</v>
      </c>
      <c r="C82">
        <v>2025</v>
      </c>
      <c r="D82">
        <v>1</v>
      </c>
      <c r="E82">
        <v>22717.72664598763</v>
      </c>
      <c r="F82">
        <f>VLOOKUP(A82,[1]Planilha1!$A:$O,8,0)</f>
        <v>18490.560000000001</v>
      </c>
      <c r="G82" s="2">
        <f t="shared" si="3"/>
        <v>0.81392651158014417</v>
      </c>
    </row>
    <row r="83" spans="1:7" x14ac:dyDescent="0.25">
      <c r="A83" t="str">
        <f t="shared" si="2"/>
        <v>PDV_192025/2</v>
      </c>
      <c r="B83" t="s">
        <v>13</v>
      </c>
      <c r="C83">
        <v>2025</v>
      </c>
      <c r="D83">
        <v>2</v>
      </c>
      <c r="E83">
        <v>23123.30417710602</v>
      </c>
      <c r="F83">
        <f>VLOOKUP(A83,[1]Planilha1!$A:$O,8,0)</f>
        <v>13915.32</v>
      </c>
      <c r="G83" s="2">
        <f t="shared" si="3"/>
        <v>0.60178769839378388</v>
      </c>
    </row>
    <row r="84" spans="1:7" x14ac:dyDescent="0.25">
      <c r="A84" t="str">
        <f t="shared" si="2"/>
        <v>PDV_192025/3</v>
      </c>
      <c r="B84" t="s">
        <v>13</v>
      </c>
      <c r="C84">
        <v>2025</v>
      </c>
      <c r="D84">
        <v>3</v>
      </c>
      <c r="E84">
        <v>22733.491609398119</v>
      </c>
      <c r="F84">
        <f>VLOOKUP(A84,[1]Planilha1!$A:$O,8,0)</f>
        <v>8581.56</v>
      </c>
      <c r="G84" s="2">
        <f t="shared" si="3"/>
        <v>0.37748534837703274</v>
      </c>
    </row>
    <row r="85" spans="1:7" x14ac:dyDescent="0.25">
      <c r="A85" t="str">
        <f t="shared" si="2"/>
        <v>PDV_192025/4</v>
      </c>
      <c r="B85" t="s">
        <v>13</v>
      </c>
      <c r="C85">
        <v>2025</v>
      </c>
      <c r="D85">
        <v>4</v>
      </c>
      <c r="E85">
        <v>22503.305718818901</v>
      </c>
      <c r="F85">
        <f>VLOOKUP(A85,[1]Planilha1!$A:$O,8,0)</f>
        <v>26351.01</v>
      </c>
      <c r="G85" s="2">
        <f t="shared" si="3"/>
        <v>1.1709839580574763</v>
      </c>
    </row>
    <row r="86" spans="1:7" x14ac:dyDescent="0.25">
      <c r="A86" t="str">
        <f t="shared" si="2"/>
        <v>PDV_192025/5</v>
      </c>
      <c r="B86" t="s">
        <v>13</v>
      </c>
      <c r="C86">
        <v>2025</v>
      </c>
      <c r="D86">
        <v>5</v>
      </c>
      <c r="E86">
        <v>22247.742191234822</v>
      </c>
      <c r="F86">
        <f>VLOOKUP(A86,[1]Planilha1!$A:$O,8,0)</f>
        <v>21994.15</v>
      </c>
      <c r="G86" s="2">
        <f t="shared" si="3"/>
        <v>0.98860144148313933</v>
      </c>
    </row>
    <row r="87" spans="1:7" x14ac:dyDescent="0.25">
      <c r="A87" t="str">
        <f t="shared" si="2"/>
        <v>PDV_192025/6</v>
      </c>
      <c r="B87" t="s">
        <v>13</v>
      </c>
      <c r="C87">
        <v>2025</v>
      </c>
      <c r="D87">
        <v>6</v>
      </c>
      <c r="E87">
        <v>22363.74882081449</v>
      </c>
      <c r="F87">
        <f>VLOOKUP(A87,[1]Planilha1!$A:$O,8,0)</f>
        <v>21804.31</v>
      </c>
      <c r="G87" s="2">
        <f t="shared" si="3"/>
        <v>0.97498456876363215</v>
      </c>
    </row>
    <row r="88" spans="1:7" x14ac:dyDescent="0.25">
      <c r="A88" t="str">
        <f t="shared" si="2"/>
        <v>PDV_192025/7</v>
      </c>
      <c r="B88" t="s">
        <v>13</v>
      </c>
      <c r="C88">
        <v>2025</v>
      </c>
      <c r="D88">
        <v>7</v>
      </c>
      <c r="E88">
        <v>22054.934700511691</v>
      </c>
      <c r="F88">
        <f>VLOOKUP(A88,[1]Planilha1!$A:$O,8,0)</f>
        <v>28740.9</v>
      </c>
      <c r="G88" s="2">
        <f t="shared" si="3"/>
        <v>1.3031505370692933</v>
      </c>
    </row>
    <row r="89" spans="1:7" x14ac:dyDescent="0.25">
      <c r="A89" t="str">
        <f t="shared" si="2"/>
        <v>PDV_192025/8</v>
      </c>
      <c r="B89" t="s">
        <v>13</v>
      </c>
      <c r="C89">
        <v>2025</v>
      </c>
      <c r="D89">
        <v>8</v>
      </c>
      <c r="E89">
        <v>22171.03515586197</v>
      </c>
      <c r="F89">
        <f>VLOOKUP(A89,[1]Planilha1!$A:$O,8,0)</f>
        <v>15561.52</v>
      </c>
      <c r="G89" s="2">
        <f t="shared" si="3"/>
        <v>0.70188513484385373</v>
      </c>
    </row>
    <row r="90" spans="1:7" x14ac:dyDescent="0.25">
      <c r="A90" t="str">
        <f t="shared" si="2"/>
        <v>PDV_22025/1</v>
      </c>
      <c r="B90" t="s">
        <v>14</v>
      </c>
      <c r="C90">
        <v>2025</v>
      </c>
      <c r="D90">
        <v>1</v>
      </c>
      <c r="E90">
        <v>27106.433931845429</v>
      </c>
      <c r="F90">
        <f>VLOOKUP(A90,[1]Planilha1!$A:$O,8,0)</f>
        <v>16963.07</v>
      </c>
      <c r="G90" s="2">
        <f t="shared" si="3"/>
        <v>0.62579496966110659</v>
      </c>
    </row>
    <row r="91" spans="1:7" x14ac:dyDescent="0.25">
      <c r="A91" t="str">
        <f t="shared" si="2"/>
        <v>PDV_22025/2</v>
      </c>
      <c r="B91" t="s">
        <v>14</v>
      </c>
      <c r="C91">
        <v>2025</v>
      </c>
      <c r="D91">
        <v>2</v>
      </c>
      <c r="E91">
        <v>28991.842142882939</v>
      </c>
      <c r="F91">
        <f>VLOOKUP(A91,[1]Planilha1!$A:$O,8,0)</f>
        <v>23005.59</v>
      </c>
      <c r="G91" s="2">
        <f t="shared" si="3"/>
        <v>0.79351942821086052</v>
      </c>
    </row>
    <row r="92" spans="1:7" x14ac:dyDescent="0.25">
      <c r="A92" t="str">
        <f t="shared" si="2"/>
        <v>PDV_22025/3</v>
      </c>
      <c r="B92" t="s">
        <v>14</v>
      </c>
      <c r="C92">
        <v>2025</v>
      </c>
      <c r="D92">
        <v>3</v>
      </c>
      <c r="E92">
        <v>29871.827573826911</v>
      </c>
      <c r="F92">
        <f>VLOOKUP(A92,[1]Planilha1!$A:$O,8,0)</f>
        <v>20560.900000000001</v>
      </c>
      <c r="G92" s="2">
        <f t="shared" si="3"/>
        <v>0.68830405334874945</v>
      </c>
    </row>
    <row r="93" spans="1:7" x14ac:dyDescent="0.25">
      <c r="A93" t="str">
        <f t="shared" si="2"/>
        <v>PDV_22025/4</v>
      </c>
      <c r="B93" t="s">
        <v>14</v>
      </c>
      <c r="C93">
        <v>2025</v>
      </c>
      <c r="D93">
        <v>4</v>
      </c>
      <c r="E93">
        <v>30031.318391630051</v>
      </c>
      <c r="F93">
        <f>VLOOKUP(A93,[1]Planilha1!$A:$O,8,0)</f>
        <v>26442.98</v>
      </c>
      <c r="G93" s="2">
        <f t="shared" si="3"/>
        <v>0.88051345782307888</v>
      </c>
    </row>
    <row r="94" spans="1:7" x14ac:dyDescent="0.25">
      <c r="A94" t="str">
        <f t="shared" si="2"/>
        <v>PDV_22025/5</v>
      </c>
      <c r="B94" t="s">
        <v>14</v>
      </c>
      <c r="C94">
        <v>2025</v>
      </c>
      <c r="D94">
        <v>5</v>
      </c>
      <c r="E94">
        <v>29749.37625234127</v>
      </c>
      <c r="F94">
        <f>VLOOKUP(A94,[1]Planilha1!$A:$O,8,0)</f>
        <v>25673.26</v>
      </c>
      <c r="G94" s="2">
        <f t="shared" si="3"/>
        <v>0.86298481629440948</v>
      </c>
    </row>
    <row r="95" spans="1:7" x14ac:dyDescent="0.25">
      <c r="A95" t="str">
        <f t="shared" si="2"/>
        <v>PDV_22025/6</v>
      </c>
      <c r="B95" t="s">
        <v>14</v>
      </c>
      <c r="C95">
        <v>2025</v>
      </c>
      <c r="D95">
        <v>6</v>
      </c>
      <c r="E95">
        <v>29359.763408619161</v>
      </c>
      <c r="F95">
        <f>VLOOKUP(A95,[1]Planilha1!$A:$O,8,0)</f>
        <v>21521.040000000001</v>
      </c>
      <c r="G95" s="2">
        <f t="shared" si="3"/>
        <v>0.73301135640902537</v>
      </c>
    </row>
    <row r="96" spans="1:7" x14ac:dyDescent="0.25">
      <c r="A96" t="str">
        <f t="shared" si="2"/>
        <v>PDV_22025/7</v>
      </c>
      <c r="B96" t="s">
        <v>14</v>
      </c>
      <c r="C96">
        <v>2025</v>
      </c>
      <c r="D96">
        <v>7</v>
      </c>
      <c r="E96">
        <v>28758.33609886765</v>
      </c>
      <c r="F96">
        <f>VLOOKUP(A96,[1]Planilha1!$A:$O,8,0)</f>
        <v>14730.39</v>
      </c>
      <c r="G96" s="2">
        <f t="shared" si="3"/>
        <v>0.5122128745334471</v>
      </c>
    </row>
    <row r="97" spans="1:7" x14ac:dyDescent="0.25">
      <c r="A97" t="str">
        <f t="shared" si="2"/>
        <v>PDV_22025/8</v>
      </c>
      <c r="B97" t="s">
        <v>14</v>
      </c>
      <c r="C97">
        <v>2025</v>
      </c>
      <c r="D97">
        <v>8</v>
      </c>
      <c r="E97">
        <v>29065.089973178499</v>
      </c>
      <c r="F97">
        <f>VLOOKUP(A97,[1]Planilha1!$A:$O,8,0)</f>
        <v>12733.57</v>
      </c>
      <c r="G97" s="2">
        <f t="shared" si="3"/>
        <v>0.43810530129962238</v>
      </c>
    </row>
    <row r="98" spans="1:7" x14ac:dyDescent="0.25">
      <c r="A98" t="str">
        <f t="shared" si="2"/>
        <v>PDV_202025/1</v>
      </c>
      <c r="B98" t="s">
        <v>15</v>
      </c>
      <c r="C98">
        <v>2025</v>
      </c>
      <c r="D98">
        <v>1</v>
      </c>
      <c r="E98">
        <v>26855.501925448181</v>
      </c>
      <c r="F98">
        <f>VLOOKUP(A98,[1]Planilha1!$A:$O,8,0)</f>
        <v>16775.849999999999</v>
      </c>
      <c r="G98" s="2">
        <f t="shared" si="3"/>
        <v>0.62467087923250697</v>
      </c>
    </row>
    <row r="99" spans="1:7" x14ac:dyDescent="0.25">
      <c r="A99" t="str">
        <f t="shared" si="2"/>
        <v>PDV_202025/2</v>
      </c>
      <c r="B99" t="s">
        <v>15</v>
      </c>
      <c r="C99">
        <v>2025</v>
      </c>
      <c r="D99">
        <v>2</v>
      </c>
      <c r="E99">
        <v>28131.230123368499</v>
      </c>
      <c r="F99">
        <f>VLOOKUP(A99,[1]Planilha1!$A:$O,8,0)</f>
        <v>21179.61</v>
      </c>
      <c r="G99" s="2">
        <f t="shared" si="3"/>
        <v>0.75288602407778049</v>
      </c>
    </row>
    <row r="100" spans="1:7" x14ac:dyDescent="0.25">
      <c r="A100" t="str">
        <f t="shared" si="2"/>
        <v>PDV_202025/3</v>
      </c>
      <c r="B100" t="s">
        <v>15</v>
      </c>
      <c r="C100">
        <v>2025</v>
      </c>
      <c r="D100">
        <v>3</v>
      </c>
      <c r="E100">
        <v>27880.072850412129</v>
      </c>
      <c r="F100">
        <f>VLOOKUP(A100,[1]Planilha1!$A:$O,8,0)</f>
        <v>16323.08</v>
      </c>
      <c r="G100" s="2">
        <f t="shared" si="3"/>
        <v>0.58547479727115237</v>
      </c>
    </row>
    <row r="101" spans="1:7" x14ac:dyDescent="0.25">
      <c r="A101" t="str">
        <f t="shared" si="2"/>
        <v>PDV_202025/4</v>
      </c>
      <c r="B101" t="s">
        <v>15</v>
      </c>
      <c r="C101">
        <v>2025</v>
      </c>
      <c r="D101">
        <v>4</v>
      </c>
      <c r="E101">
        <v>27076.188655393129</v>
      </c>
      <c r="F101">
        <f>VLOOKUP(A101,[1]Planilha1!$A:$O,8,0)</f>
        <v>18566.37</v>
      </c>
      <c r="G101" s="2">
        <f t="shared" si="3"/>
        <v>0.68570839996351873</v>
      </c>
    </row>
    <row r="102" spans="1:7" x14ac:dyDescent="0.25">
      <c r="A102" t="str">
        <f t="shared" si="2"/>
        <v>PDV_202025/5</v>
      </c>
      <c r="B102" t="s">
        <v>15</v>
      </c>
      <c r="C102">
        <v>2025</v>
      </c>
      <c r="D102">
        <v>5</v>
      </c>
      <c r="E102">
        <v>26059.493309458499</v>
      </c>
      <c r="F102">
        <f>VLOOKUP(A102,[1]Planilha1!$A:$O,8,0)</f>
        <v>26997.200000000001</v>
      </c>
      <c r="G102" s="2">
        <f t="shared" si="3"/>
        <v>1.0359833047943858</v>
      </c>
    </row>
    <row r="103" spans="1:7" x14ac:dyDescent="0.25">
      <c r="A103" t="str">
        <f t="shared" si="2"/>
        <v>PDV_202025/6</v>
      </c>
      <c r="B103" t="s">
        <v>15</v>
      </c>
      <c r="C103">
        <v>2025</v>
      </c>
      <c r="D103">
        <v>6</v>
      </c>
      <c r="E103">
        <v>25262.669679418799</v>
      </c>
      <c r="F103">
        <f>VLOOKUP(A103,[1]Planilha1!$A:$O,8,0)</f>
        <v>17645.34</v>
      </c>
      <c r="G103" s="2">
        <f t="shared" si="3"/>
        <v>0.69847487315940526</v>
      </c>
    </row>
    <row r="104" spans="1:7" x14ac:dyDescent="0.25">
      <c r="A104" t="str">
        <f t="shared" si="2"/>
        <v>PDV_202025/7</v>
      </c>
      <c r="B104" t="s">
        <v>15</v>
      </c>
      <c r="C104">
        <v>2025</v>
      </c>
      <c r="D104">
        <v>7</v>
      </c>
      <c r="E104">
        <v>24135.938766371011</v>
      </c>
      <c r="F104">
        <f>VLOOKUP(A104,[1]Planilha1!$A:$O,8,0)</f>
        <v>33557.129999999997</v>
      </c>
      <c r="G104" s="2">
        <f t="shared" si="3"/>
        <v>1.3903387112812733</v>
      </c>
    </row>
    <row r="105" spans="1:7" x14ac:dyDescent="0.25">
      <c r="A105" t="str">
        <f t="shared" si="2"/>
        <v>PDV_202025/8</v>
      </c>
      <c r="B105" t="s">
        <v>15</v>
      </c>
      <c r="C105">
        <v>2025</v>
      </c>
      <c r="D105">
        <v>8</v>
      </c>
      <c r="E105">
        <v>25076.118165589571</v>
      </c>
      <c r="F105">
        <f>VLOOKUP(A105,[1]Planilha1!$A:$O,8,0)</f>
        <v>13946.83</v>
      </c>
      <c r="G105" s="2">
        <f t="shared" si="3"/>
        <v>0.55617978460232276</v>
      </c>
    </row>
    <row r="106" spans="1:7" x14ac:dyDescent="0.25">
      <c r="A106" t="str">
        <f t="shared" si="2"/>
        <v>PDV_212025/1</v>
      </c>
      <c r="B106" t="s">
        <v>16</v>
      </c>
      <c r="C106">
        <v>2025</v>
      </c>
      <c r="D106">
        <v>1</v>
      </c>
      <c r="E106">
        <v>24757.70331070304</v>
      </c>
      <c r="F106">
        <f>VLOOKUP(A106,[1]Planilha1!$A:$O,8,0)</f>
        <v>12156.13</v>
      </c>
      <c r="G106" s="2">
        <f t="shared" si="3"/>
        <v>0.49100394521428664</v>
      </c>
    </row>
    <row r="107" spans="1:7" x14ac:dyDescent="0.25">
      <c r="A107" t="str">
        <f t="shared" si="2"/>
        <v>PDV_212025/2</v>
      </c>
      <c r="B107" t="s">
        <v>16</v>
      </c>
      <c r="C107">
        <v>2025</v>
      </c>
      <c r="D107">
        <v>2</v>
      </c>
      <c r="E107">
        <v>23192.592784621709</v>
      </c>
      <c r="F107">
        <f>VLOOKUP(A107,[1]Planilha1!$A:$O,8,0)</f>
        <v>16139.65</v>
      </c>
      <c r="G107" s="2">
        <f t="shared" si="3"/>
        <v>0.69589675246235094</v>
      </c>
    </row>
    <row r="108" spans="1:7" x14ac:dyDescent="0.25">
      <c r="A108" t="str">
        <f t="shared" si="2"/>
        <v>PDV_212025/3</v>
      </c>
      <c r="B108" t="s">
        <v>16</v>
      </c>
      <c r="C108">
        <v>2025</v>
      </c>
      <c r="D108">
        <v>3</v>
      </c>
      <c r="E108">
        <v>22069.560604536531</v>
      </c>
      <c r="F108">
        <f>VLOOKUP(A108,[1]Planilha1!$A:$O,8,0)</f>
        <v>12017.99</v>
      </c>
      <c r="G108" s="2">
        <f t="shared" si="3"/>
        <v>0.54455048812932094</v>
      </c>
    </row>
    <row r="109" spans="1:7" x14ac:dyDescent="0.25">
      <c r="A109" t="str">
        <f t="shared" si="2"/>
        <v>PDV_212025/4</v>
      </c>
      <c r="B109" t="s">
        <v>16</v>
      </c>
      <c r="C109">
        <v>2025</v>
      </c>
      <c r="D109">
        <v>4</v>
      </c>
      <c r="E109">
        <v>21163.593382130861</v>
      </c>
      <c r="F109">
        <f>VLOOKUP(A109,[1]Planilha1!$A:$O,8,0)</f>
        <v>30443.47</v>
      </c>
      <c r="G109" s="2">
        <f t="shared" si="3"/>
        <v>1.4384830331178284</v>
      </c>
    </row>
    <row r="110" spans="1:7" x14ac:dyDescent="0.25">
      <c r="A110" t="str">
        <f t="shared" si="2"/>
        <v>PDV_212025/5</v>
      </c>
      <c r="B110" t="s">
        <v>16</v>
      </c>
      <c r="C110">
        <v>2025</v>
      </c>
      <c r="D110">
        <v>5</v>
      </c>
      <c r="E110">
        <v>20394.118236597769</v>
      </c>
      <c r="F110">
        <f>VLOOKUP(A110,[1]Planilha1!$A:$O,8,0)</f>
        <v>9374.99</v>
      </c>
      <c r="G110" s="2">
        <f t="shared" si="3"/>
        <v>0.45969087220335614</v>
      </c>
    </row>
    <row r="111" spans="1:7" x14ac:dyDescent="0.25">
      <c r="A111" t="str">
        <f t="shared" si="2"/>
        <v>PDV_212025/6</v>
      </c>
      <c r="B111" t="s">
        <v>16</v>
      </c>
      <c r="C111">
        <v>2025</v>
      </c>
      <c r="D111">
        <v>6</v>
      </c>
      <c r="E111">
        <v>20041.484423402551</v>
      </c>
      <c r="F111">
        <f>VLOOKUP(A111,[1]Planilha1!$A:$O,8,0)</f>
        <v>13303.81</v>
      </c>
      <c r="G111" s="2">
        <f t="shared" si="3"/>
        <v>0.6638136037700415</v>
      </c>
    </row>
    <row r="112" spans="1:7" x14ac:dyDescent="0.25">
      <c r="A112" t="str">
        <f t="shared" si="2"/>
        <v>PDV_212025/7</v>
      </c>
      <c r="B112" t="s">
        <v>16</v>
      </c>
      <c r="C112">
        <v>2025</v>
      </c>
      <c r="D112">
        <v>7</v>
      </c>
      <c r="E112">
        <v>19777.227237707379</v>
      </c>
      <c r="F112">
        <f>VLOOKUP(A112,[1]Planilha1!$A:$O,8,0)</f>
        <v>23774.28</v>
      </c>
      <c r="G112" s="2">
        <f t="shared" si="3"/>
        <v>1.2021037991954613</v>
      </c>
    </row>
    <row r="113" spans="1:7" x14ac:dyDescent="0.25">
      <c r="A113" t="str">
        <f t="shared" si="2"/>
        <v>PDV_212025/8</v>
      </c>
      <c r="B113" t="s">
        <v>16</v>
      </c>
      <c r="C113">
        <v>2025</v>
      </c>
      <c r="D113">
        <v>8</v>
      </c>
      <c r="E113">
        <v>20734.38272086739</v>
      </c>
      <c r="F113">
        <f>VLOOKUP(A113,[1]Planilha1!$A:$O,8,0)</f>
        <v>22292.73</v>
      </c>
      <c r="G113" s="2">
        <f t="shared" si="3"/>
        <v>1.0751576403364189</v>
      </c>
    </row>
    <row r="114" spans="1:7" x14ac:dyDescent="0.25">
      <c r="A114" t="str">
        <f t="shared" si="2"/>
        <v>PDV_222025/1</v>
      </c>
      <c r="B114" t="s">
        <v>17</v>
      </c>
      <c r="C114">
        <v>2025</v>
      </c>
      <c r="D114">
        <v>1</v>
      </c>
      <c r="E114">
        <v>24617.063537728191</v>
      </c>
      <c r="F114">
        <f>VLOOKUP(A114,[1]Planilha1!$A:$O,8,0)</f>
        <v>11008.74</v>
      </c>
      <c r="G114" s="2">
        <f t="shared" si="3"/>
        <v>0.44719956070828554</v>
      </c>
    </row>
    <row r="115" spans="1:7" x14ac:dyDescent="0.25">
      <c r="A115" t="str">
        <f t="shared" si="2"/>
        <v>PDV_222025/2</v>
      </c>
      <c r="B115" t="s">
        <v>17</v>
      </c>
      <c r="C115">
        <v>2025</v>
      </c>
      <c r="D115">
        <v>2</v>
      </c>
      <c r="E115">
        <v>24018.025759423381</v>
      </c>
      <c r="F115">
        <f>VLOOKUP(A115,[1]Planilha1!$A:$O,8,0)</f>
        <v>27774.73</v>
      </c>
      <c r="G115" s="2">
        <f t="shared" si="3"/>
        <v>1.1564118665791125</v>
      </c>
    </row>
    <row r="116" spans="1:7" x14ac:dyDescent="0.25">
      <c r="A116" t="str">
        <f t="shared" si="2"/>
        <v>PDV_222025/3</v>
      </c>
      <c r="B116" t="s">
        <v>17</v>
      </c>
      <c r="C116">
        <v>2025</v>
      </c>
      <c r="D116">
        <v>3</v>
      </c>
      <c r="E116">
        <v>23376.51797896982</v>
      </c>
      <c r="F116">
        <f>VLOOKUP(A116,[1]Planilha1!$A:$O,8,0)</f>
        <v>12070.29</v>
      </c>
      <c r="G116" s="2">
        <f t="shared" si="3"/>
        <v>0.51634251135514608</v>
      </c>
    </row>
    <row r="117" spans="1:7" x14ac:dyDescent="0.25">
      <c r="A117" t="str">
        <f t="shared" si="2"/>
        <v>PDV_222025/4</v>
      </c>
      <c r="B117" t="s">
        <v>17</v>
      </c>
      <c r="C117">
        <v>2025</v>
      </c>
      <c r="D117">
        <v>4</v>
      </c>
      <c r="E117">
        <v>22937.497441318039</v>
      </c>
      <c r="F117">
        <f>VLOOKUP(A117,[1]Planilha1!$A:$O,8,0)</f>
        <v>26298.79</v>
      </c>
      <c r="G117" s="2">
        <f t="shared" si="3"/>
        <v>1.1465413813028775</v>
      </c>
    </row>
    <row r="118" spans="1:7" x14ac:dyDescent="0.25">
      <c r="A118" t="str">
        <f t="shared" si="2"/>
        <v>PDV_222025/5</v>
      </c>
      <c r="B118" t="s">
        <v>17</v>
      </c>
      <c r="C118">
        <v>2025</v>
      </c>
      <c r="D118">
        <v>5</v>
      </c>
      <c r="E118">
        <v>22265.270999453671</v>
      </c>
      <c r="F118">
        <f>VLOOKUP(A118,[1]Planilha1!$A:$O,8,0)</f>
        <v>25862.77</v>
      </c>
      <c r="G118" s="2">
        <f t="shared" si="3"/>
        <v>1.1615744538045192</v>
      </c>
    </row>
    <row r="119" spans="1:7" x14ac:dyDescent="0.25">
      <c r="A119" t="str">
        <f t="shared" si="2"/>
        <v>PDV_222025/6</v>
      </c>
      <c r="B119" t="s">
        <v>17</v>
      </c>
      <c r="C119">
        <v>2025</v>
      </c>
      <c r="D119">
        <v>6</v>
      </c>
      <c r="E119">
        <v>22358.447887631661</v>
      </c>
      <c r="F119">
        <f>VLOOKUP(A119,[1]Planilha1!$A:$O,8,0)</f>
        <v>28550.3</v>
      </c>
      <c r="G119" s="2">
        <f t="shared" si="3"/>
        <v>1.2769356863896431</v>
      </c>
    </row>
    <row r="120" spans="1:7" x14ac:dyDescent="0.25">
      <c r="A120" t="str">
        <f t="shared" si="2"/>
        <v>PDV_222025/7</v>
      </c>
      <c r="B120" t="s">
        <v>17</v>
      </c>
      <c r="C120">
        <v>2025</v>
      </c>
      <c r="D120">
        <v>7</v>
      </c>
      <c r="E120">
        <v>21941.26832620323</v>
      </c>
      <c r="F120">
        <f>VLOOKUP(A120,[1]Planilha1!$A:$O,8,0)</f>
        <v>20949.189999999999</v>
      </c>
      <c r="G120" s="2">
        <f t="shared" si="3"/>
        <v>0.9547848232174232</v>
      </c>
    </row>
    <row r="121" spans="1:7" x14ac:dyDescent="0.25">
      <c r="A121" t="str">
        <f t="shared" si="2"/>
        <v>PDV_222025/8</v>
      </c>
      <c r="B121" t="s">
        <v>17</v>
      </c>
      <c r="C121">
        <v>2025</v>
      </c>
      <c r="D121">
        <v>8</v>
      </c>
      <c r="E121">
        <v>22802.145080784561</v>
      </c>
      <c r="F121">
        <f>VLOOKUP(A121,[1]Planilha1!$A:$O,8,0)</f>
        <v>22024.94</v>
      </c>
      <c r="G121" s="2">
        <f t="shared" si="3"/>
        <v>0.96591526463711896</v>
      </c>
    </row>
    <row r="122" spans="1:7" x14ac:dyDescent="0.25">
      <c r="A122" t="str">
        <f t="shared" si="2"/>
        <v>PDV_232025/1</v>
      </c>
      <c r="B122" t="s">
        <v>18</v>
      </c>
      <c r="C122">
        <v>2025</v>
      </c>
      <c r="D122">
        <v>1</v>
      </c>
      <c r="E122">
        <v>22216.81277927398</v>
      </c>
      <c r="F122">
        <f>VLOOKUP(A122,[1]Planilha1!$A:$O,8,0)</f>
        <v>21878.44</v>
      </c>
      <c r="G122" s="2">
        <f t="shared" si="3"/>
        <v>0.9847695174534824</v>
      </c>
    </row>
    <row r="123" spans="1:7" x14ac:dyDescent="0.25">
      <c r="A123" t="str">
        <f t="shared" si="2"/>
        <v>PDV_232025/2</v>
      </c>
      <c r="B123" t="s">
        <v>18</v>
      </c>
      <c r="C123">
        <v>2025</v>
      </c>
      <c r="D123">
        <v>2</v>
      </c>
      <c r="E123">
        <v>21423.1731902957</v>
      </c>
      <c r="F123">
        <f>VLOOKUP(A123,[1]Planilha1!$A:$O,8,0)</f>
        <v>21415.94</v>
      </c>
      <c r="G123" s="2">
        <f t="shared" si="3"/>
        <v>0.99966236606354009</v>
      </c>
    </row>
    <row r="124" spans="1:7" x14ac:dyDescent="0.25">
      <c r="A124" t="str">
        <f t="shared" si="2"/>
        <v>PDV_232025/3</v>
      </c>
      <c r="B124" t="s">
        <v>18</v>
      </c>
      <c r="C124">
        <v>2025</v>
      </c>
      <c r="D124">
        <v>3</v>
      </c>
      <c r="E124">
        <v>21196.637887881989</v>
      </c>
      <c r="F124">
        <f>VLOOKUP(A124,[1]Planilha1!$A:$O,8,0)</f>
        <v>7739.63</v>
      </c>
      <c r="G124" s="2">
        <f t="shared" si="3"/>
        <v>0.36513479359029422</v>
      </c>
    </row>
    <row r="125" spans="1:7" x14ac:dyDescent="0.25">
      <c r="A125" t="str">
        <f t="shared" si="2"/>
        <v>PDV_232025/4</v>
      </c>
      <c r="B125" t="s">
        <v>18</v>
      </c>
      <c r="C125">
        <v>2025</v>
      </c>
      <c r="D125">
        <v>4</v>
      </c>
      <c r="E125">
        <v>21051.781214975119</v>
      </c>
      <c r="F125">
        <f>VLOOKUP(A125,[1]Planilha1!$A:$O,8,0)</f>
        <v>15470.36</v>
      </c>
      <c r="G125" s="2">
        <f t="shared" si="3"/>
        <v>0.73487178315320933</v>
      </c>
    </row>
    <row r="126" spans="1:7" x14ac:dyDescent="0.25">
      <c r="A126" t="str">
        <f t="shared" si="2"/>
        <v>PDV_232025/5</v>
      </c>
      <c r="B126" t="s">
        <v>18</v>
      </c>
      <c r="C126">
        <v>2025</v>
      </c>
      <c r="D126">
        <v>5</v>
      </c>
      <c r="E126">
        <v>20922.17923609733</v>
      </c>
      <c r="F126">
        <f>VLOOKUP(A126,[1]Planilha1!$A:$O,8,0)</f>
        <v>20136.63</v>
      </c>
      <c r="G126" s="2">
        <f t="shared" si="3"/>
        <v>0.962453756502477</v>
      </c>
    </row>
    <row r="127" spans="1:7" x14ac:dyDescent="0.25">
      <c r="A127" t="str">
        <f t="shared" si="2"/>
        <v>PDV_232025/6</v>
      </c>
      <c r="B127" t="s">
        <v>18</v>
      </c>
      <c r="C127">
        <v>2025</v>
      </c>
      <c r="D127">
        <v>6</v>
      </c>
      <c r="E127">
        <v>20764.029386712311</v>
      </c>
      <c r="F127">
        <f>VLOOKUP(A127,[1]Planilha1!$A:$O,8,0)</f>
        <v>17320.009999999998</v>
      </c>
      <c r="G127" s="2">
        <f t="shared" si="3"/>
        <v>0.83413530569763727</v>
      </c>
    </row>
    <row r="128" spans="1:7" x14ac:dyDescent="0.25">
      <c r="A128" t="str">
        <f t="shared" si="2"/>
        <v>PDV_232025/7</v>
      </c>
      <c r="B128" t="s">
        <v>18</v>
      </c>
      <c r="C128">
        <v>2025</v>
      </c>
      <c r="D128">
        <v>7</v>
      </c>
      <c r="E128">
        <v>20593.069749084709</v>
      </c>
      <c r="F128">
        <f>VLOOKUP(A128,[1]Planilha1!$A:$O,8,0)</f>
        <v>26827.58</v>
      </c>
      <c r="G128" s="2">
        <f t="shared" si="3"/>
        <v>1.3027479791444108</v>
      </c>
    </row>
    <row r="129" spans="1:7" x14ac:dyDescent="0.25">
      <c r="A129" t="str">
        <f t="shared" si="2"/>
        <v>PDV_232025/8</v>
      </c>
      <c r="B129" t="s">
        <v>18</v>
      </c>
      <c r="C129">
        <v>2025</v>
      </c>
      <c r="D129">
        <v>8</v>
      </c>
      <c r="E129">
        <v>21019.512054042811</v>
      </c>
      <c r="F129">
        <f>VLOOKUP(A129,[1]Planilha1!$A:$O,8,0)</f>
        <v>24924.240000000002</v>
      </c>
      <c r="G129" s="2">
        <f t="shared" si="3"/>
        <v>1.1857668216045087</v>
      </c>
    </row>
    <row r="130" spans="1:7" x14ac:dyDescent="0.25">
      <c r="A130" t="str">
        <f t="shared" si="2"/>
        <v>PDV_242025/1</v>
      </c>
      <c r="B130" t="s">
        <v>19</v>
      </c>
      <c r="C130">
        <v>2025</v>
      </c>
      <c r="D130">
        <v>1</v>
      </c>
      <c r="E130">
        <v>20653.347664277549</v>
      </c>
      <c r="F130">
        <f>VLOOKUP(A130,[1]Planilha1!$A:$O,8,0)</f>
        <v>15836.57</v>
      </c>
      <c r="G130" s="2">
        <f t="shared" si="3"/>
        <v>0.76677981010271057</v>
      </c>
    </row>
    <row r="131" spans="1:7" x14ac:dyDescent="0.25">
      <c r="A131" t="str">
        <f t="shared" ref="A131:A194" si="4">B131&amp;C131&amp;"/"&amp;D131</f>
        <v>PDV_242025/2</v>
      </c>
      <c r="B131" t="s">
        <v>19</v>
      </c>
      <c r="C131">
        <v>2025</v>
      </c>
      <c r="D131">
        <v>2</v>
      </c>
      <c r="E131">
        <v>20394.607453695829</v>
      </c>
      <c r="F131">
        <f>VLOOKUP(A131,[1]Planilha1!$A:$O,8,0)</f>
        <v>14081.77</v>
      </c>
      <c r="G131" s="2">
        <f t="shared" ref="G131:G194" si="5">F131/E131</f>
        <v>0.69046536109956647</v>
      </c>
    </row>
    <row r="132" spans="1:7" x14ac:dyDescent="0.25">
      <c r="A132" t="str">
        <f t="shared" si="4"/>
        <v>PDV_242025/3</v>
      </c>
      <c r="B132" t="s">
        <v>19</v>
      </c>
      <c r="C132">
        <v>2025</v>
      </c>
      <c r="D132">
        <v>3</v>
      </c>
      <c r="E132">
        <v>20319.635351644461</v>
      </c>
      <c r="F132">
        <f>VLOOKUP(A132,[1]Planilha1!$A:$O,8,0)</f>
        <v>19901.759999999998</v>
      </c>
      <c r="G132" s="2">
        <f t="shared" si="5"/>
        <v>0.9794348990809697</v>
      </c>
    </row>
    <row r="133" spans="1:7" x14ac:dyDescent="0.25">
      <c r="A133" t="str">
        <f t="shared" si="4"/>
        <v>PDV_242025/4</v>
      </c>
      <c r="B133" t="s">
        <v>19</v>
      </c>
      <c r="C133">
        <v>2025</v>
      </c>
      <c r="D133">
        <v>4</v>
      </c>
      <c r="E133">
        <v>20237.638297075329</v>
      </c>
      <c r="F133">
        <f>VLOOKUP(A133,[1]Planilha1!$A:$O,8,0)</f>
        <v>15620.1</v>
      </c>
      <c r="G133" s="2">
        <f t="shared" si="5"/>
        <v>0.77183413255574196</v>
      </c>
    </row>
    <row r="134" spans="1:7" x14ac:dyDescent="0.25">
      <c r="A134" t="str">
        <f t="shared" si="4"/>
        <v>PDV_242025/5</v>
      </c>
      <c r="B134" t="s">
        <v>19</v>
      </c>
      <c r="C134">
        <v>2025</v>
      </c>
      <c r="D134">
        <v>5</v>
      </c>
      <c r="E134">
        <v>20245.981622368399</v>
      </c>
      <c r="F134">
        <f>VLOOKUP(A134,[1]Planilha1!$A:$O,8,0)</f>
        <v>28691.02</v>
      </c>
      <c r="G134" s="2">
        <f t="shared" si="5"/>
        <v>1.4171217051931557</v>
      </c>
    </row>
    <row r="135" spans="1:7" x14ac:dyDescent="0.25">
      <c r="A135" t="str">
        <f t="shared" si="4"/>
        <v>PDV_242025/6</v>
      </c>
      <c r="B135" t="s">
        <v>19</v>
      </c>
      <c r="C135">
        <v>2025</v>
      </c>
      <c r="D135">
        <v>6</v>
      </c>
      <c r="E135">
        <v>20080.001992878919</v>
      </c>
      <c r="F135">
        <f>VLOOKUP(A135,[1]Planilha1!$A:$O,8,0)</f>
        <v>13502.1</v>
      </c>
      <c r="G135" s="2">
        <f t="shared" si="5"/>
        <v>0.67241527191024797</v>
      </c>
    </row>
    <row r="136" spans="1:7" x14ac:dyDescent="0.25">
      <c r="A136" t="str">
        <f t="shared" si="4"/>
        <v>PDV_242025/7</v>
      </c>
      <c r="B136" t="s">
        <v>19</v>
      </c>
      <c r="C136">
        <v>2025</v>
      </c>
      <c r="D136">
        <v>7</v>
      </c>
      <c r="E136">
        <v>20043.713304567042</v>
      </c>
      <c r="F136">
        <f>VLOOKUP(A136,[1]Planilha1!$A:$O,8,0)</f>
        <v>19225.53</v>
      </c>
      <c r="G136" s="2">
        <f t="shared" si="5"/>
        <v>0.95918005350931579</v>
      </c>
    </row>
    <row r="137" spans="1:7" x14ac:dyDescent="0.25">
      <c r="A137" t="str">
        <f t="shared" si="4"/>
        <v>PDV_242025/8</v>
      </c>
      <c r="B137" t="s">
        <v>19</v>
      </c>
      <c r="C137">
        <v>2025</v>
      </c>
      <c r="D137">
        <v>8</v>
      </c>
      <c r="E137">
        <v>20309.761885968452</v>
      </c>
      <c r="F137">
        <f>VLOOKUP(A137,[1]Planilha1!$A:$O,8,0)</f>
        <v>14369.18</v>
      </c>
      <c r="G137" s="2">
        <f t="shared" si="5"/>
        <v>0.70750115538909086</v>
      </c>
    </row>
    <row r="138" spans="1:7" x14ac:dyDescent="0.25">
      <c r="A138" t="str">
        <f t="shared" si="4"/>
        <v>PDV_252025/1</v>
      </c>
      <c r="B138" t="s">
        <v>20</v>
      </c>
      <c r="C138">
        <v>2025</v>
      </c>
      <c r="D138">
        <v>1</v>
      </c>
      <c r="E138">
        <v>17462.300377002659</v>
      </c>
      <c r="F138">
        <f>VLOOKUP(A138,[1]Planilha1!$A:$O,8,0)</f>
        <v>18940.34</v>
      </c>
      <c r="G138" s="2">
        <f t="shared" si="5"/>
        <v>1.0846417477129116</v>
      </c>
    </row>
    <row r="139" spans="1:7" x14ac:dyDescent="0.25">
      <c r="A139" t="str">
        <f t="shared" si="4"/>
        <v>PDV_252025/2</v>
      </c>
      <c r="B139" t="s">
        <v>20</v>
      </c>
      <c r="C139">
        <v>2025</v>
      </c>
      <c r="D139">
        <v>2</v>
      </c>
      <c r="E139">
        <v>18393.980751380921</v>
      </c>
      <c r="F139">
        <f>VLOOKUP(A139,[1]Planilha1!$A:$O,8,0)</f>
        <v>24052.720000000001</v>
      </c>
      <c r="G139" s="2">
        <f t="shared" si="5"/>
        <v>1.3076408160421855</v>
      </c>
    </row>
    <row r="140" spans="1:7" x14ac:dyDescent="0.25">
      <c r="A140" t="str">
        <f t="shared" si="4"/>
        <v>PDV_252025/3</v>
      </c>
      <c r="B140" t="s">
        <v>20</v>
      </c>
      <c r="C140">
        <v>2025</v>
      </c>
      <c r="D140">
        <v>3</v>
      </c>
      <c r="E140">
        <v>18947.761465992629</v>
      </c>
      <c r="F140">
        <f>VLOOKUP(A140,[1]Planilha1!$A:$O,8,0)</f>
        <v>12437.5</v>
      </c>
      <c r="G140" s="2">
        <f t="shared" si="5"/>
        <v>0.65640999451691318</v>
      </c>
    </row>
    <row r="141" spans="1:7" x14ac:dyDescent="0.25">
      <c r="A141" t="str">
        <f t="shared" si="4"/>
        <v>PDV_252025/4</v>
      </c>
      <c r="B141" t="s">
        <v>20</v>
      </c>
      <c r="C141">
        <v>2025</v>
      </c>
      <c r="D141">
        <v>4</v>
      </c>
      <c r="E141">
        <v>19497.161725230519</v>
      </c>
      <c r="F141">
        <f>VLOOKUP(A141,[1]Planilha1!$A:$O,8,0)</f>
        <v>19482.32</v>
      </c>
      <c r="G141" s="2">
        <f t="shared" si="5"/>
        <v>0.99923877508738557</v>
      </c>
    </row>
    <row r="142" spans="1:7" x14ac:dyDescent="0.25">
      <c r="A142" t="str">
        <f t="shared" si="4"/>
        <v>PDV_252025/5</v>
      </c>
      <c r="B142" t="s">
        <v>20</v>
      </c>
      <c r="C142">
        <v>2025</v>
      </c>
      <c r="D142">
        <v>5</v>
      </c>
      <c r="E142">
        <v>19900.789568963952</v>
      </c>
      <c r="F142">
        <f>VLOOKUP(A142,[1]Planilha1!$A:$O,8,0)</f>
        <v>24601.47</v>
      </c>
      <c r="G142" s="2">
        <f t="shared" si="5"/>
        <v>1.2362057251420286</v>
      </c>
    </row>
    <row r="143" spans="1:7" x14ac:dyDescent="0.25">
      <c r="A143" t="str">
        <f t="shared" si="4"/>
        <v>PDV_252025/6</v>
      </c>
      <c r="B143" t="s">
        <v>20</v>
      </c>
      <c r="C143">
        <v>2025</v>
      </c>
      <c r="D143">
        <v>6</v>
      </c>
      <c r="E143">
        <v>20519.357230454691</v>
      </c>
      <c r="F143">
        <f>VLOOKUP(A143,[1]Planilha1!$A:$O,8,0)</f>
        <v>13570.21</v>
      </c>
      <c r="G143" s="2">
        <f t="shared" si="5"/>
        <v>0.66133699255740752</v>
      </c>
    </row>
    <row r="144" spans="1:7" x14ac:dyDescent="0.25">
      <c r="A144" t="str">
        <f t="shared" si="4"/>
        <v>PDV_252025/7</v>
      </c>
      <c r="B144" t="s">
        <v>20</v>
      </c>
      <c r="C144">
        <v>2025</v>
      </c>
      <c r="D144">
        <v>7</v>
      </c>
      <c r="E144">
        <v>20401.957218379379</v>
      </c>
      <c r="F144">
        <f>VLOOKUP(A144,[1]Planilha1!$A:$O,8,0)</f>
        <v>25114.41</v>
      </c>
      <c r="G144" s="2">
        <f t="shared" si="5"/>
        <v>1.2309804265923734</v>
      </c>
    </row>
    <row r="145" spans="1:7" x14ac:dyDescent="0.25">
      <c r="A145" t="str">
        <f t="shared" si="4"/>
        <v>PDV_252025/8</v>
      </c>
      <c r="B145" t="s">
        <v>20</v>
      </c>
      <c r="C145">
        <v>2025</v>
      </c>
      <c r="D145">
        <v>8</v>
      </c>
      <c r="E145">
        <v>20502.668421391249</v>
      </c>
      <c r="F145">
        <f>VLOOKUP(A145,[1]Planilha1!$A:$O,8,0)</f>
        <v>15679</v>
      </c>
      <c r="G145" s="2">
        <f t="shared" si="5"/>
        <v>0.76472972579712972</v>
      </c>
    </row>
    <row r="146" spans="1:7" x14ac:dyDescent="0.25">
      <c r="A146" t="str">
        <f t="shared" si="4"/>
        <v>PDV_262025/1</v>
      </c>
      <c r="B146" t="s">
        <v>21</v>
      </c>
      <c r="C146">
        <v>2025</v>
      </c>
      <c r="D146">
        <v>1</v>
      </c>
      <c r="E146">
        <v>25094.403282825351</v>
      </c>
      <c r="F146">
        <f>VLOOKUP(A146,[1]Planilha1!$A:$O,8,0)</f>
        <v>23269.22</v>
      </c>
      <c r="G146" s="2">
        <f t="shared" si="5"/>
        <v>0.92726731684931085</v>
      </c>
    </row>
    <row r="147" spans="1:7" x14ac:dyDescent="0.25">
      <c r="A147" t="str">
        <f t="shared" si="4"/>
        <v>PDV_262025/2</v>
      </c>
      <c r="B147" t="s">
        <v>21</v>
      </c>
      <c r="C147">
        <v>2025</v>
      </c>
      <c r="D147">
        <v>2</v>
      </c>
      <c r="E147">
        <v>23208.02352807999</v>
      </c>
      <c r="F147">
        <f>VLOOKUP(A147,[1]Planilha1!$A:$O,8,0)</f>
        <v>11490.88</v>
      </c>
      <c r="G147" s="2">
        <f t="shared" si="5"/>
        <v>0.49512531672922883</v>
      </c>
    </row>
    <row r="148" spans="1:7" x14ac:dyDescent="0.25">
      <c r="A148" t="str">
        <f t="shared" si="4"/>
        <v>PDV_262025/3</v>
      </c>
      <c r="B148" t="s">
        <v>21</v>
      </c>
      <c r="C148">
        <v>2025</v>
      </c>
      <c r="D148">
        <v>3</v>
      </c>
      <c r="E148">
        <v>22862.707929466371</v>
      </c>
      <c r="F148">
        <f>VLOOKUP(A148,[1]Planilha1!$A:$O,8,0)</f>
        <v>10102.66</v>
      </c>
      <c r="G148" s="2">
        <f t="shared" si="5"/>
        <v>0.44188378870812972</v>
      </c>
    </row>
    <row r="149" spans="1:7" x14ac:dyDescent="0.25">
      <c r="A149" t="str">
        <f t="shared" si="4"/>
        <v>PDV_262025/4</v>
      </c>
      <c r="B149" t="s">
        <v>21</v>
      </c>
      <c r="C149">
        <v>2025</v>
      </c>
      <c r="D149">
        <v>4</v>
      </c>
      <c r="E149">
        <v>22777.52835879385</v>
      </c>
      <c r="F149">
        <f>VLOOKUP(A149,[1]Planilha1!$A:$O,8,0)</f>
        <v>28115.919999999998</v>
      </c>
      <c r="G149" s="2">
        <f t="shared" si="5"/>
        <v>1.2343709799024407</v>
      </c>
    </row>
    <row r="150" spans="1:7" x14ac:dyDescent="0.25">
      <c r="A150" t="str">
        <f t="shared" si="4"/>
        <v>PDV_262025/5</v>
      </c>
      <c r="B150" t="s">
        <v>21</v>
      </c>
      <c r="C150">
        <v>2025</v>
      </c>
      <c r="D150">
        <v>5</v>
      </c>
      <c r="E150">
        <v>22676.943472241161</v>
      </c>
      <c r="F150">
        <f>VLOOKUP(A150,[1]Planilha1!$A:$O,8,0)</f>
        <v>19219.89</v>
      </c>
      <c r="G150" s="2">
        <f t="shared" si="5"/>
        <v>0.84755205319125393</v>
      </c>
    </row>
    <row r="151" spans="1:7" x14ac:dyDescent="0.25">
      <c r="A151" t="str">
        <f t="shared" si="4"/>
        <v>PDV_262025/6</v>
      </c>
      <c r="B151" t="s">
        <v>21</v>
      </c>
      <c r="C151">
        <v>2025</v>
      </c>
      <c r="D151">
        <v>6</v>
      </c>
      <c r="E151">
        <v>22654.17879600406</v>
      </c>
      <c r="F151">
        <f>VLOOKUP(A151,[1]Planilha1!$A:$O,8,0)</f>
        <v>25657.63</v>
      </c>
      <c r="G151" s="2">
        <f t="shared" si="5"/>
        <v>1.1325782422325419</v>
      </c>
    </row>
    <row r="152" spans="1:7" x14ac:dyDescent="0.25">
      <c r="A152" t="str">
        <f t="shared" si="4"/>
        <v>PDV_262025/7</v>
      </c>
      <c r="B152" t="s">
        <v>21</v>
      </c>
      <c r="C152">
        <v>2025</v>
      </c>
      <c r="D152">
        <v>7</v>
      </c>
      <c r="E152">
        <v>22295.337533676618</v>
      </c>
      <c r="F152">
        <f>VLOOKUP(A152,[1]Planilha1!$A:$O,8,0)</f>
        <v>26994.78</v>
      </c>
      <c r="G152" s="2">
        <f t="shared" si="5"/>
        <v>1.2107814003365043</v>
      </c>
    </row>
    <row r="153" spans="1:7" x14ac:dyDescent="0.25">
      <c r="A153" t="str">
        <f t="shared" si="4"/>
        <v>PDV_262025/8</v>
      </c>
      <c r="B153" t="s">
        <v>21</v>
      </c>
      <c r="C153">
        <v>2025</v>
      </c>
      <c r="D153">
        <v>8</v>
      </c>
      <c r="E153">
        <v>22948.307811248302</v>
      </c>
      <c r="F153">
        <f>VLOOKUP(A153,[1]Planilha1!$A:$O,8,0)</f>
        <v>24274.22</v>
      </c>
      <c r="G153" s="2">
        <f t="shared" si="5"/>
        <v>1.0577782117817764</v>
      </c>
    </row>
    <row r="154" spans="1:7" x14ac:dyDescent="0.25">
      <c r="A154" t="str">
        <f t="shared" si="4"/>
        <v>PDV_272025/1</v>
      </c>
      <c r="B154" t="s">
        <v>22</v>
      </c>
      <c r="C154">
        <v>2025</v>
      </c>
      <c r="D154">
        <v>1</v>
      </c>
      <c r="E154">
        <v>21064.73094041914</v>
      </c>
      <c r="F154">
        <f>VLOOKUP(A154,[1]Planilha1!$A:$O,8,0)</f>
        <v>11278.22</v>
      </c>
      <c r="G154" s="2">
        <f t="shared" si="5"/>
        <v>0.53540774064003249</v>
      </c>
    </row>
    <row r="155" spans="1:7" x14ac:dyDescent="0.25">
      <c r="A155" t="str">
        <f t="shared" si="4"/>
        <v>PDV_272025/2</v>
      </c>
      <c r="B155" t="s">
        <v>22</v>
      </c>
      <c r="C155">
        <v>2025</v>
      </c>
      <c r="D155">
        <v>2</v>
      </c>
      <c r="E155">
        <v>20991.724706622659</v>
      </c>
      <c r="F155">
        <f>VLOOKUP(A155,[1]Planilha1!$A:$O,8,0)</f>
        <v>11932.69</v>
      </c>
      <c r="G155" s="2">
        <f t="shared" si="5"/>
        <v>0.56844733659428026</v>
      </c>
    </row>
    <row r="156" spans="1:7" x14ac:dyDescent="0.25">
      <c r="A156" t="str">
        <f t="shared" si="4"/>
        <v>PDV_272025/3</v>
      </c>
      <c r="B156" t="s">
        <v>22</v>
      </c>
      <c r="C156">
        <v>2025</v>
      </c>
      <c r="D156">
        <v>3</v>
      </c>
      <c r="E156">
        <v>20377.188193994461</v>
      </c>
      <c r="F156">
        <f>VLOOKUP(A156,[1]Planilha1!$A:$O,8,0)</f>
        <v>20265.18</v>
      </c>
      <c r="G156" s="2">
        <f t="shared" si="5"/>
        <v>0.9945032556539144</v>
      </c>
    </row>
    <row r="157" spans="1:7" x14ac:dyDescent="0.25">
      <c r="A157" t="str">
        <f t="shared" si="4"/>
        <v>PDV_272025/4</v>
      </c>
      <c r="B157" t="s">
        <v>22</v>
      </c>
      <c r="C157">
        <v>2025</v>
      </c>
      <c r="D157">
        <v>4</v>
      </c>
      <c r="E157">
        <v>19860.249250250759</v>
      </c>
      <c r="F157">
        <f>VLOOKUP(A157,[1]Planilha1!$A:$O,8,0)</f>
        <v>15473.46</v>
      </c>
      <c r="G157" s="2">
        <f t="shared" si="5"/>
        <v>0.77911711001334127</v>
      </c>
    </row>
    <row r="158" spans="1:7" x14ac:dyDescent="0.25">
      <c r="A158" t="str">
        <f t="shared" si="4"/>
        <v>PDV_272025/5</v>
      </c>
      <c r="B158" t="s">
        <v>22</v>
      </c>
      <c r="C158">
        <v>2025</v>
      </c>
      <c r="D158">
        <v>5</v>
      </c>
      <c r="E158">
        <v>19334.28502834111</v>
      </c>
      <c r="F158">
        <f>VLOOKUP(A158,[1]Planilha1!$A:$O,8,0)</f>
        <v>32536.98</v>
      </c>
      <c r="G158" s="2">
        <f t="shared" si="5"/>
        <v>1.6828644013629548</v>
      </c>
    </row>
    <row r="159" spans="1:7" x14ac:dyDescent="0.25">
      <c r="A159" t="str">
        <f t="shared" si="4"/>
        <v>PDV_272025/6</v>
      </c>
      <c r="B159" t="s">
        <v>22</v>
      </c>
      <c r="C159">
        <v>2025</v>
      </c>
      <c r="D159">
        <v>6</v>
      </c>
      <c r="E159">
        <v>18897.86243693799</v>
      </c>
      <c r="F159">
        <f>VLOOKUP(A159,[1]Planilha1!$A:$O,8,0)</f>
        <v>31338.97</v>
      </c>
      <c r="G159" s="2">
        <f t="shared" si="5"/>
        <v>1.6583341160714806</v>
      </c>
    </row>
    <row r="160" spans="1:7" x14ac:dyDescent="0.25">
      <c r="A160" t="str">
        <f t="shared" si="4"/>
        <v>PDV_272025/7</v>
      </c>
      <c r="B160" t="s">
        <v>22</v>
      </c>
      <c r="C160">
        <v>2025</v>
      </c>
      <c r="D160">
        <v>7</v>
      </c>
      <c r="E160">
        <v>18494.023704248371</v>
      </c>
      <c r="F160">
        <f>VLOOKUP(A160,[1]Planilha1!$A:$O,8,0)</f>
        <v>30058.22</v>
      </c>
      <c r="G160" s="2">
        <f t="shared" si="5"/>
        <v>1.6252936884197433</v>
      </c>
    </row>
    <row r="161" spans="1:7" x14ac:dyDescent="0.25">
      <c r="A161" t="str">
        <f t="shared" si="4"/>
        <v>PDV_272025/8</v>
      </c>
      <c r="B161" t="s">
        <v>22</v>
      </c>
      <c r="C161">
        <v>2025</v>
      </c>
      <c r="D161">
        <v>8</v>
      </c>
      <c r="E161">
        <v>19181.890318873229</v>
      </c>
      <c r="F161">
        <f>VLOOKUP(A161,[1]Planilha1!$A:$O,8,0)</f>
        <v>18839.46</v>
      </c>
      <c r="G161" s="2">
        <f t="shared" si="5"/>
        <v>0.98214824956347968</v>
      </c>
    </row>
    <row r="162" spans="1:7" x14ac:dyDescent="0.25">
      <c r="A162" t="str">
        <f t="shared" si="4"/>
        <v>PDV_282025/1</v>
      </c>
      <c r="B162" t="s">
        <v>23</v>
      </c>
      <c r="C162">
        <v>2025</v>
      </c>
      <c r="D162">
        <v>1</v>
      </c>
      <c r="E162">
        <v>23672.767817396529</v>
      </c>
      <c r="F162">
        <f>VLOOKUP(A162,[1]Planilha1!$A:$O,8,0)</f>
        <v>17827.07</v>
      </c>
      <c r="G162" s="2">
        <f t="shared" si="5"/>
        <v>0.753062343090246</v>
      </c>
    </row>
    <row r="163" spans="1:7" x14ac:dyDescent="0.25">
      <c r="A163" t="str">
        <f t="shared" si="4"/>
        <v>PDV_282025/2</v>
      </c>
      <c r="B163" t="s">
        <v>23</v>
      </c>
      <c r="C163">
        <v>2025</v>
      </c>
      <c r="D163">
        <v>2</v>
      </c>
      <c r="E163">
        <v>23279.953411691491</v>
      </c>
      <c r="F163">
        <f>VLOOKUP(A163,[1]Planilha1!$A:$O,8,0)</f>
        <v>11373.17</v>
      </c>
      <c r="G163" s="2">
        <f t="shared" si="5"/>
        <v>0.48853920791302996</v>
      </c>
    </row>
    <row r="164" spans="1:7" x14ac:dyDescent="0.25">
      <c r="A164" t="str">
        <f t="shared" si="4"/>
        <v>PDV_282025/3</v>
      </c>
      <c r="B164" t="s">
        <v>23</v>
      </c>
      <c r="C164">
        <v>2025</v>
      </c>
      <c r="D164">
        <v>3</v>
      </c>
      <c r="E164">
        <v>22925.747229155011</v>
      </c>
      <c r="F164">
        <f>VLOOKUP(A164,[1]Planilha1!$A:$O,8,0)</f>
        <v>12916.04</v>
      </c>
      <c r="G164" s="2">
        <f t="shared" si="5"/>
        <v>0.5633857806638678</v>
      </c>
    </row>
    <row r="165" spans="1:7" x14ac:dyDescent="0.25">
      <c r="A165" t="str">
        <f t="shared" si="4"/>
        <v>PDV_282025/4</v>
      </c>
      <c r="B165" t="s">
        <v>23</v>
      </c>
      <c r="C165">
        <v>2025</v>
      </c>
      <c r="D165">
        <v>4</v>
      </c>
      <c r="E165">
        <v>22599.256821594241</v>
      </c>
      <c r="F165">
        <f>VLOOKUP(A165,[1]Planilha1!$A:$O,8,0)</f>
        <v>16864.54</v>
      </c>
      <c r="G165" s="2">
        <f t="shared" si="5"/>
        <v>0.74624312352986077</v>
      </c>
    </row>
    <row r="166" spans="1:7" x14ac:dyDescent="0.25">
      <c r="A166" t="str">
        <f t="shared" si="4"/>
        <v>PDV_282025/5</v>
      </c>
      <c r="B166" t="s">
        <v>23</v>
      </c>
      <c r="C166">
        <v>2025</v>
      </c>
      <c r="D166">
        <v>5</v>
      </c>
      <c r="E166">
        <v>21911.10818400294</v>
      </c>
      <c r="F166">
        <f>VLOOKUP(A166,[1]Planilha1!$A:$O,8,0)</f>
        <v>18848.48</v>
      </c>
      <c r="G166" s="2">
        <f t="shared" si="5"/>
        <v>0.86022486136785492</v>
      </c>
    </row>
    <row r="167" spans="1:7" x14ac:dyDescent="0.25">
      <c r="A167" t="str">
        <f t="shared" si="4"/>
        <v>PDV_282025/6</v>
      </c>
      <c r="B167" t="s">
        <v>23</v>
      </c>
      <c r="C167">
        <v>2025</v>
      </c>
      <c r="D167">
        <v>6</v>
      </c>
      <c r="E167">
        <v>21368.273180133699</v>
      </c>
      <c r="F167">
        <f>VLOOKUP(A167,[1]Planilha1!$A:$O,8,0)</f>
        <v>13821.82</v>
      </c>
      <c r="G167" s="2">
        <f t="shared" si="5"/>
        <v>0.64683841710009049</v>
      </c>
    </row>
    <row r="168" spans="1:7" x14ac:dyDescent="0.25">
      <c r="A168" t="str">
        <f t="shared" si="4"/>
        <v>PDV_282025/7</v>
      </c>
      <c r="B168" t="s">
        <v>23</v>
      </c>
      <c r="C168">
        <v>2025</v>
      </c>
      <c r="D168">
        <v>7</v>
      </c>
      <c r="E168">
        <v>21009.56940389633</v>
      </c>
      <c r="F168">
        <f>VLOOKUP(A168,[1]Planilha1!$A:$O,8,0)</f>
        <v>21892.77</v>
      </c>
      <c r="G168" s="2">
        <f t="shared" si="5"/>
        <v>1.0420380151122886</v>
      </c>
    </row>
    <row r="169" spans="1:7" x14ac:dyDescent="0.25">
      <c r="A169" t="str">
        <f t="shared" si="4"/>
        <v>PDV_282025/8</v>
      </c>
      <c r="B169" t="s">
        <v>23</v>
      </c>
      <c r="C169">
        <v>2025</v>
      </c>
      <c r="D169">
        <v>8</v>
      </c>
      <c r="E169">
        <v>21475.057427818181</v>
      </c>
      <c r="F169">
        <f>VLOOKUP(A169,[1]Planilha1!$A:$O,8,0)</f>
        <v>16791.04</v>
      </c>
      <c r="G169" s="2">
        <f t="shared" si="5"/>
        <v>0.78188568558840565</v>
      </c>
    </row>
    <row r="170" spans="1:7" x14ac:dyDescent="0.25">
      <c r="A170" t="str">
        <f t="shared" si="4"/>
        <v>PDV_292025/1</v>
      </c>
      <c r="B170" t="s">
        <v>24</v>
      </c>
      <c r="C170">
        <v>2025</v>
      </c>
      <c r="D170">
        <v>1</v>
      </c>
      <c r="E170">
        <v>24865.79225099802</v>
      </c>
      <c r="F170">
        <f>VLOOKUP(A170,[1]Planilha1!$A:$O,8,0)</f>
        <v>19406.48</v>
      </c>
      <c r="G170" s="2">
        <f t="shared" si="5"/>
        <v>0.780448891557883</v>
      </c>
    </row>
    <row r="171" spans="1:7" x14ac:dyDescent="0.25">
      <c r="A171" t="str">
        <f t="shared" si="4"/>
        <v>PDV_292025/2</v>
      </c>
      <c r="B171" t="s">
        <v>24</v>
      </c>
      <c r="C171">
        <v>2025</v>
      </c>
      <c r="D171">
        <v>2</v>
      </c>
      <c r="E171">
        <v>23441.14655395865</v>
      </c>
      <c r="F171">
        <f>VLOOKUP(A171,[1]Planilha1!$A:$O,8,0)</f>
        <v>25140.89</v>
      </c>
      <c r="G171" s="2">
        <f t="shared" si="5"/>
        <v>1.0725111052963534</v>
      </c>
    </row>
    <row r="172" spans="1:7" x14ac:dyDescent="0.25">
      <c r="A172" t="str">
        <f t="shared" si="4"/>
        <v>PDV_292025/3</v>
      </c>
      <c r="B172" t="s">
        <v>24</v>
      </c>
      <c r="C172">
        <v>2025</v>
      </c>
      <c r="D172">
        <v>3</v>
      </c>
      <c r="E172">
        <v>21784.835686270599</v>
      </c>
      <c r="F172">
        <f>VLOOKUP(A172,[1]Planilha1!$A:$O,8,0)</f>
        <v>19425.900000000001</v>
      </c>
      <c r="G172" s="2">
        <f t="shared" si="5"/>
        <v>0.89171661791521961</v>
      </c>
    </row>
    <row r="173" spans="1:7" x14ac:dyDescent="0.25">
      <c r="A173" t="str">
        <f t="shared" si="4"/>
        <v>PDV_292025/4</v>
      </c>
      <c r="B173" t="s">
        <v>24</v>
      </c>
      <c r="C173">
        <v>2025</v>
      </c>
      <c r="D173">
        <v>4</v>
      </c>
      <c r="E173">
        <v>20275.30802902639</v>
      </c>
      <c r="F173">
        <f>VLOOKUP(A173,[1]Planilha1!$A:$O,8,0)</f>
        <v>23748.45</v>
      </c>
      <c r="G173" s="2">
        <f t="shared" si="5"/>
        <v>1.1712990977005833</v>
      </c>
    </row>
    <row r="174" spans="1:7" x14ac:dyDescent="0.25">
      <c r="A174" t="str">
        <f t="shared" si="4"/>
        <v>PDV_292025/5</v>
      </c>
      <c r="B174" t="s">
        <v>24</v>
      </c>
      <c r="C174">
        <v>2025</v>
      </c>
      <c r="D174">
        <v>5</v>
      </c>
      <c r="E174">
        <v>19482.294324808121</v>
      </c>
      <c r="F174">
        <f>VLOOKUP(A174,[1]Planilha1!$A:$O,8,0)</f>
        <v>14240.3</v>
      </c>
      <c r="G174" s="2">
        <f t="shared" si="5"/>
        <v>0.730935472105401</v>
      </c>
    </row>
    <row r="175" spans="1:7" x14ac:dyDescent="0.25">
      <c r="A175" t="str">
        <f t="shared" si="4"/>
        <v>PDV_292025/6</v>
      </c>
      <c r="B175" t="s">
        <v>24</v>
      </c>
      <c r="C175">
        <v>2025</v>
      </c>
      <c r="D175">
        <v>6</v>
      </c>
      <c r="E175">
        <v>18677.518701385259</v>
      </c>
      <c r="F175">
        <f>VLOOKUP(A175,[1]Planilha1!$A:$O,8,0)</f>
        <v>18553.14</v>
      </c>
      <c r="G175" s="2">
        <f t="shared" si="5"/>
        <v>0.99334072671141083</v>
      </c>
    </row>
    <row r="176" spans="1:7" x14ac:dyDescent="0.25">
      <c r="A176" t="str">
        <f t="shared" si="4"/>
        <v>PDV_292025/7</v>
      </c>
      <c r="B176" t="s">
        <v>24</v>
      </c>
      <c r="C176">
        <v>2025</v>
      </c>
      <c r="D176">
        <v>7</v>
      </c>
      <c r="E176">
        <v>18154.23753466368</v>
      </c>
      <c r="F176">
        <f>VLOOKUP(A176,[1]Planilha1!$A:$O,8,0)</f>
        <v>23743.53</v>
      </c>
      <c r="G176" s="2">
        <f t="shared" si="5"/>
        <v>1.3078781168674327</v>
      </c>
    </row>
    <row r="177" spans="1:7" x14ac:dyDescent="0.25">
      <c r="A177" t="str">
        <f t="shared" si="4"/>
        <v>PDV_292025/8</v>
      </c>
      <c r="B177" t="s">
        <v>24</v>
      </c>
      <c r="C177">
        <v>2025</v>
      </c>
      <c r="D177">
        <v>8</v>
      </c>
      <c r="E177">
        <v>19200.390872598891</v>
      </c>
      <c r="F177">
        <f>VLOOKUP(A177,[1]Planilha1!$A:$O,8,0)</f>
        <v>16007.79</v>
      </c>
      <c r="G177" s="2">
        <f t="shared" si="5"/>
        <v>0.83372208962917049</v>
      </c>
    </row>
    <row r="178" spans="1:7" x14ac:dyDescent="0.25">
      <c r="A178" t="str">
        <f t="shared" si="4"/>
        <v>PDV_32025/1</v>
      </c>
      <c r="B178" t="s">
        <v>25</v>
      </c>
      <c r="C178">
        <v>2025</v>
      </c>
      <c r="D178">
        <v>1</v>
      </c>
      <c r="E178">
        <v>21099.919524154669</v>
      </c>
      <c r="F178">
        <f>VLOOKUP(A178,[1]Planilha1!$A:$O,8,0)</f>
        <v>20938.71</v>
      </c>
      <c r="G178" s="2">
        <f t="shared" si="5"/>
        <v>0.99235970905149085</v>
      </c>
    </row>
    <row r="179" spans="1:7" x14ac:dyDescent="0.25">
      <c r="A179" t="str">
        <f t="shared" si="4"/>
        <v>PDV_32025/2</v>
      </c>
      <c r="B179" t="s">
        <v>25</v>
      </c>
      <c r="C179">
        <v>2025</v>
      </c>
      <c r="D179">
        <v>2</v>
      </c>
      <c r="E179">
        <v>22132.189755554209</v>
      </c>
      <c r="F179">
        <f>VLOOKUP(A179,[1]Planilha1!$A:$O,8,0)</f>
        <v>18084.93</v>
      </c>
      <c r="G179" s="2">
        <f t="shared" si="5"/>
        <v>0.81713243017272952</v>
      </c>
    </row>
    <row r="180" spans="1:7" x14ac:dyDescent="0.25">
      <c r="A180" t="str">
        <f t="shared" si="4"/>
        <v>PDV_32025/3</v>
      </c>
      <c r="B180" t="s">
        <v>25</v>
      </c>
      <c r="C180">
        <v>2025</v>
      </c>
      <c r="D180">
        <v>3</v>
      </c>
      <c r="E180">
        <v>23359.895010986329</v>
      </c>
      <c r="F180">
        <f>VLOOKUP(A180,[1]Planilha1!$A:$O,8,0)</f>
        <v>15909.12</v>
      </c>
      <c r="G180" s="2">
        <f t="shared" si="5"/>
        <v>0.68104415677030339</v>
      </c>
    </row>
    <row r="181" spans="1:7" x14ac:dyDescent="0.25">
      <c r="A181" t="str">
        <f t="shared" si="4"/>
        <v>PDV_32025/4</v>
      </c>
      <c r="B181" t="s">
        <v>25</v>
      </c>
      <c r="C181">
        <v>2025</v>
      </c>
      <c r="D181">
        <v>4</v>
      </c>
      <c r="E181">
        <v>24291.21259811402</v>
      </c>
      <c r="F181">
        <f>VLOOKUP(A181,[1]Planilha1!$A:$O,8,0)</f>
        <v>29493.1</v>
      </c>
      <c r="G181" s="2">
        <f t="shared" si="5"/>
        <v>1.2141468805180131</v>
      </c>
    </row>
    <row r="182" spans="1:7" x14ac:dyDescent="0.25">
      <c r="A182" t="str">
        <f t="shared" si="4"/>
        <v>PDV_32025/5</v>
      </c>
      <c r="B182" t="s">
        <v>25</v>
      </c>
      <c r="C182">
        <v>2025</v>
      </c>
      <c r="D182">
        <v>5</v>
      </c>
      <c r="E182">
        <v>24809.573670349131</v>
      </c>
      <c r="F182">
        <f>VLOOKUP(A182,[1]Planilha1!$A:$O,8,0)</f>
        <v>28829.88</v>
      </c>
      <c r="G182" s="2">
        <f t="shared" si="5"/>
        <v>1.1620465705323946</v>
      </c>
    </row>
    <row r="183" spans="1:7" x14ac:dyDescent="0.25">
      <c r="A183" t="str">
        <f t="shared" si="4"/>
        <v>PDV_32025/6</v>
      </c>
      <c r="B183" t="s">
        <v>25</v>
      </c>
      <c r="C183">
        <v>2025</v>
      </c>
      <c r="D183">
        <v>6</v>
      </c>
      <c r="E183">
        <v>25175.316148071299</v>
      </c>
      <c r="F183">
        <f>VLOOKUP(A183,[1]Planilha1!$A:$O,8,0)</f>
        <v>16893.689999999999</v>
      </c>
      <c r="G183" s="2">
        <f t="shared" si="5"/>
        <v>0.67104182130774304</v>
      </c>
    </row>
    <row r="184" spans="1:7" x14ac:dyDescent="0.25">
      <c r="A184" t="str">
        <f t="shared" si="4"/>
        <v>PDV_32025/7</v>
      </c>
      <c r="B184" t="s">
        <v>25</v>
      </c>
      <c r="C184">
        <v>2025</v>
      </c>
      <c r="D184">
        <v>7</v>
      </c>
      <c r="E184">
        <v>25215.284937133791</v>
      </c>
      <c r="F184">
        <f>VLOOKUP(A184,[1]Planilha1!$A:$O,8,0)</f>
        <v>23751.119999999999</v>
      </c>
      <c r="G184" s="2">
        <f t="shared" si="5"/>
        <v>0.94193343677121966</v>
      </c>
    </row>
    <row r="185" spans="1:7" x14ac:dyDescent="0.25">
      <c r="A185" t="str">
        <f t="shared" si="4"/>
        <v>PDV_32025/8</v>
      </c>
      <c r="B185" t="s">
        <v>25</v>
      </c>
      <c r="C185">
        <v>2025</v>
      </c>
      <c r="D185">
        <v>8</v>
      </c>
      <c r="E185">
        <v>25373.965374145511</v>
      </c>
      <c r="F185">
        <f>VLOOKUP(A185,[1]Planilha1!$A:$O,8,0)</f>
        <v>20444.78</v>
      </c>
      <c r="G185" s="2">
        <f t="shared" si="5"/>
        <v>0.80573846848675668</v>
      </c>
    </row>
    <row r="186" spans="1:7" x14ac:dyDescent="0.25">
      <c r="A186" t="str">
        <f t="shared" si="4"/>
        <v>PDV_302025/1</v>
      </c>
      <c r="B186" t="s">
        <v>26</v>
      </c>
      <c r="C186">
        <v>2025</v>
      </c>
      <c r="D186">
        <v>1</v>
      </c>
      <c r="E186">
        <v>23435.167272239629</v>
      </c>
      <c r="F186">
        <f>VLOOKUP(A186,[1]Planilha1!$A:$O,8,0)</f>
        <v>14317.67</v>
      </c>
      <c r="G186" s="2">
        <f t="shared" si="5"/>
        <v>0.61094806082140263</v>
      </c>
    </row>
    <row r="187" spans="1:7" x14ac:dyDescent="0.25">
      <c r="A187" t="str">
        <f t="shared" si="4"/>
        <v>PDV_302025/2</v>
      </c>
      <c r="B187" t="s">
        <v>26</v>
      </c>
      <c r="C187">
        <v>2025</v>
      </c>
      <c r="D187">
        <v>2</v>
      </c>
      <c r="E187">
        <v>23334.869639156459</v>
      </c>
      <c r="F187">
        <f>VLOOKUP(A187,[1]Planilha1!$A:$O,8,0)</f>
        <v>20039.349999999999</v>
      </c>
      <c r="G187" s="2">
        <f t="shared" si="5"/>
        <v>0.85877274267577219</v>
      </c>
    </row>
    <row r="188" spans="1:7" x14ac:dyDescent="0.25">
      <c r="A188" t="str">
        <f t="shared" si="4"/>
        <v>PDV_302025/3</v>
      </c>
      <c r="B188" t="s">
        <v>26</v>
      </c>
      <c r="C188">
        <v>2025</v>
      </c>
      <c r="D188">
        <v>3</v>
      </c>
      <c r="E188">
        <v>23090.673643522859</v>
      </c>
      <c r="F188">
        <f>VLOOKUP(A188,[1]Planilha1!$A:$O,8,0)</f>
        <v>10337.09</v>
      </c>
      <c r="G188" s="2">
        <f t="shared" si="5"/>
        <v>0.44767381669263884</v>
      </c>
    </row>
    <row r="189" spans="1:7" x14ac:dyDescent="0.25">
      <c r="A189" t="str">
        <f t="shared" si="4"/>
        <v>PDV_302025/4</v>
      </c>
      <c r="B189" t="s">
        <v>26</v>
      </c>
      <c r="C189">
        <v>2025</v>
      </c>
      <c r="D189">
        <v>4</v>
      </c>
      <c r="E189">
        <v>22687.16959146678</v>
      </c>
      <c r="F189">
        <f>VLOOKUP(A189,[1]Planilha1!$A:$O,8,0)</f>
        <v>19101.5</v>
      </c>
      <c r="G189" s="2">
        <f t="shared" si="5"/>
        <v>0.84195165566993246</v>
      </c>
    </row>
    <row r="190" spans="1:7" x14ac:dyDescent="0.25">
      <c r="A190" t="str">
        <f t="shared" si="4"/>
        <v>PDV_302025/5</v>
      </c>
      <c r="B190" t="s">
        <v>26</v>
      </c>
      <c r="C190">
        <v>2025</v>
      </c>
      <c r="D190">
        <v>5</v>
      </c>
      <c r="E190">
        <v>22145.04382529348</v>
      </c>
      <c r="F190">
        <f>VLOOKUP(A190,[1]Planilha1!$A:$O,8,0)</f>
        <v>23556.63</v>
      </c>
      <c r="G190" s="2">
        <f t="shared" si="5"/>
        <v>1.0637427582371386</v>
      </c>
    </row>
    <row r="191" spans="1:7" x14ac:dyDescent="0.25">
      <c r="A191" t="str">
        <f t="shared" si="4"/>
        <v>PDV_302025/6</v>
      </c>
      <c r="B191" t="s">
        <v>26</v>
      </c>
      <c r="C191">
        <v>2025</v>
      </c>
      <c r="D191">
        <v>6</v>
      </c>
      <c r="E191">
        <v>21885.151794984638</v>
      </c>
      <c r="F191">
        <f>VLOOKUP(A191,[1]Planilha1!$A:$O,8,0)</f>
        <v>13180.93</v>
      </c>
      <c r="G191" s="2">
        <f t="shared" si="5"/>
        <v>0.60227729391489249</v>
      </c>
    </row>
    <row r="192" spans="1:7" x14ac:dyDescent="0.25">
      <c r="A192" t="str">
        <f t="shared" si="4"/>
        <v>PDV_302025/7</v>
      </c>
      <c r="B192" t="s">
        <v>26</v>
      </c>
      <c r="C192">
        <v>2025</v>
      </c>
      <c r="D192">
        <v>7</v>
      </c>
      <c r="E192">
        <v>21430.285895571411</v>
      </c>
      <c r="F192">
        <f>VLOOKUP(A192,[1]Planilha1!$A:$O,8,0)</f>
        <v>16980.12</v>
      </c>
      <c r="G192" s="2">
        <f t="shared" si="5"/>
        <v>0.7923422059203119</v>
      </c>
    </row>
    <row r="193" spans="1:7" x14ac:dyDescent="0.25">
      <c r="A193" t="str">
        <f t="shared" si="4"/>
        <v>PDV_302025/8</v>
      </c>
      <c r="B193" t="s">
        <v>26</v>
      </c>
      <c r="C193">
        <v>2025</v>
      </c>
      <c r="D193">
        <v>8</v>
      </c>
      <c r="E193">
        <v>21804.88092315257</v>
      </c>
      <c r="F193">
        <f>VLOOKUP(A193,[1]Planilha1!$A:$O,8,0)</f>
        <v>17847.53</v>
      </c>
      <c r="G193" s="2">
        <f t="shared" si="5"/>
        <v>0.81851077577082165</v>
      </c>
    </row>
    <row r="194" spans="1:7" x14ac:dyDescent="0.25">
      <c r="A194" t="str">
        <f t="shared" si="4"/>
        <v>PDV_312025/1</v>
      </c>
      <c r="B194" t="s">
        <v>27</v>
      </c>
      <c r="C194">
        <v>2025</v>
      </c>
      <c r="D194">
        <v>1</v>
      </c>
      <c r="E194">
        <v>19087.52485377431</v>
      </c>
      <c r="F194">
        <f>VLOOKUP(A194,[1]Planilha1!$A:$O,8,0)</f>
        <v>24875.18</v>
      </c>
      <c r="G194" s="2">
        <f t="shared" si="5"/>
        <v>1.3032166396933993</v>
      </c>
    </row>
    <row r="195" spans="1:7" x14ac:dyDescent="0.25">
      <c r="A195" t="str">
        <f t="shared" ref="A195:A258" si="6">B195&amp;C195&amp;"/"&amp;D195</f>
        <v>PDV_312025/2</v>
      </c>
      <c r="B195" t="s">
        <v>27</v>
      </c>
      <c r="C195">
        <v>2025</v>
      </c>
      <c r="D195">
        <v>2</v>
      </c>
      <c r="E195">
        <v>18518.02905004322</v>
      </c>
      <c r="F195">
        <f>VLOOKUP(A195,[1]Planilha1!$A:$O,8,0)</f>
        <v>25213.55</v>
      </c>
      <c r="G195" s="2">
        <f t="shared" ref="G195:G258" si="7">F195/E195</f>
        <v>1.361567688000854</v>
      </c>
    </row>
    <row r="196" spans="1:7" x14ac:dyDescent="0.25">
      <c r="A196" t="str">
        <f t="shared" si="6"/>
        <v>PDV_312025/3</v>
      </c>
      <c r="B196" t="s">
        <v>27</v>
      </c>
      <c r="C196">
        <v>2025</v>
      </c>
      <c r="D196">
        <v>3</v>
      </c>
      <c r="E196">
        <v>18377.75754723787</v>
      </c>
      <c r="F196">
        <f>VLOOKUP(A196,[1]Planilha1!$A:$O,8,0)</f>
        <v>11538.11</v>
      </c>
      <c r="G196" s="2">
        <f t="shared" si="7"/>
        <v>0.6278301348977231</v>
      </c>
    </row>
    <row r="197" spans="1:7" x14ac:dyDescent="0.25">
      <c r="A197" t="str">
        <f t="shared" si="6"/>
        <v>PDV_312025/4</v>
      </c>
      <c r="B197" t="s">
        <v>27</v>
      </c>
      <c r="C197">
        <v>2025</v>
      </c>
      <c r="D197">
        <v>4</v>
      </c>
      <c r="E197">
        <v>17845.944567164181</v>
      </c>
      <c r="F197">
        <f>VLOOKUP(A197,[1]Planilha1!$A:$O,8,0)</f>
        <v>26222.25</v>
      </c>
      <c r="G197" s="2">
        <f t="shared" si="7"/>
        <v>1.4693674465540973</v>
      </c>
    </row>
    <row r="198" spans="1:7" x14ac:dyDescent="0.25">
      <c r="A198" t="str">
        <f t="shared" si="6"/>
        <v>PDV_312025/5</v>
      </c>
      <c r="B198" t="s">
        <v>27</v>
      </c>
      <c r="C198">
        <v>2025</v>
      </c>
      <c r="D198">
        <v>5</v>
      </c>
      <c r="E198">
        <v>17462.853642625811</v>
      </c>
      <c r="F198">
        <f>VLOOKUP(A198,[1]Planilha1!$A:$O,8,0)</f>
        <v>32974.94</v>
      </c>
      <c r="G198" s="2">
        <f t="shared" si="7"/>
        <v>1.8882904635649063</v>
      </c>
    </row>
    <row r="199" spans="1:7" x14ac:dyDescent="0.25">
      <c r="A199" t="str">
        <f t="shared" si="6"/>
        <v>PDV_312025/6</v>
      </c>
      <c r="B199" t="s">
        <v>27</v>
      </c>
      <c r="C199">
        <v>2025</v>
      </c>
      <c r="D199">
        <v>6</v>
      </c>
      <c r="E199">
        <v>17435.89555222452</v>
      </c>
      <c r="F199">
        <f>VLOOKUP(A199,[1]Planilha1!$A:$O,8,0)</f>
        <v>31998.720000000001</v>
      </c>
      <c r="G199" s="2">
        <f t="shared" si="7"/>
        <v>1.835220904148942</v>
      </c>
    </row>
    <row r="200" spans="1:7" x14ac:dyDescent="0.25">
      <c r="A200" t="str">
        <f t="shared" si="6"/>
        <v>PDV_312025/7</v>
      </c>
      <c r="B200" t="s">
        <v>27</v>
      </c>
      <c r="C200">
        <v>2025</v>
      </c>
      <c r="D200">
        <v>7</v>
      </c>
      <c r="E200">
        <v>17173.073651799561</v>
      </c>
      <c r="F200">
        <f>VLOOKUP(A200,[1]Planilha1!$A:$O,8,0)</f>
        <v>17191.27</v>
      </c>
      <c r="G200" s="2">
        <f t="shared" si="7"/>
        <v>1.001059585987307</v>
      </c>
    </row>
    <row r="201" spans="1:7" x14ac:dyDescent="0.25">
      <c r="A201" t="str">
        <f t="shared" si="6"/>
        <v>PDV_312025/8</v>
      </c>
      <c r="B201" t="s">
        <v>27</v>
      </c>
      <c r="C201">
        <v>2025</v>
      </c>
      <c r="D201">
        <v>8</v>
      </c>
      <c r="E201">
        <v>17616.44414682567</v>
      </c>
      <c r="F201">
        <f>VLOOKUP(A201,[1]Planilha1!$A:$O,8,0)</f>
        <v>11451.87</v>
      </c>
      <c r="G201" s="2">
        <f t="shared" si="7"/>
        <v>0.65006705692439803</v>
      </c>
    </row>
    <row r="202" spans="1:7" x14ac:dyDescent="0.25">
      <c r="A202" t="str">
        <f t="shared" si="6"/>
        <v>PDV_322025/1</v>
      </c>
      <c r="B202" t="s">
        <v>28</v>
      </c>
      <c r="C202">
        <v>2025</v>
      </c>
      <c r="D202">
        <v>1</v>
      </c>
      <c r="E202">
        <v>23220.727795917988</v>
      </c>
      <c r="F202">
        <f>VLOOKUP(A202,[1]Planilha1!$A:$O,8,0)</f>
        <v>21912.99</v>
      </c>
      <c r="G202" s="2">
        <f t="shared" si="7"/>
        <v>0.94368230800466657</v>
      </c>
    </row>
    <row r="203" spans="1:7" x14ac:dyDescent="0.25">
      <c r="A203" t="str">
        <f t="shared" si="6"/>
        <v>PDV_322025/2</v>
      </c>
      <c r="B203" t="s">
        <v>28</v>
      </c>
      <c r="C203">
        <v>2025</v>
      </c>
      <c r="D203">
        <v>2</v>
      </c>
      <c r="E203">
        <v>23039.681922549011</v>
      </c>
      <c r="F203">
        <f>VLOOKUP(A203,[1]Planilha1!$A:$O,8,0)</f>
        <v>22674.77</v>
      </c>
      <c r="G203" s="2">
        <f t="shared" si="7"/>
        <v>0.98416159026085037</v>
      </c>
    </row>
    <row r="204" spans="1:7" x14ac:dyDescent="0.25">
      <c r="A204" t="str">
        <f t="shared" si="6"/>
        <v>PDV_322025/3</v>
      </c>
      <c r="B204" t="s">
        <v>28</v>
      </c>
      <c r="C204">
        <v>2025</v>
      </c>
      <c r="D204">
        <v>3</v>
      </c>
      <c r="E204">
        <v>22721.081895595191</v>
      </c>
      <c r="F204">
        <f>VLOOKUP(A204,[1]Planilha1!$A:$O,8,0)</f>
        <v>12964.68</v>
      </c>
      <c r="G204" s="2">
        <f t="shared" si="7"/>
        <v>0.57060134986412725</v>
      </c>
    </row>
    <row r="205" spans="1:7" x14ac:dyDescent="0.25">
      <c r="A205" t="str">
        <f t="shared" si="6"/>
        <v>PDV_322025/4</v>
      </c>
      <c r="B205" t="s">
        <v>28</v>
      </c>
      <c r="C205">
        <v>2025</v>
      </c>
      <c r="D205">
        <v>4</v>
      </c>
      <c r="E205">
        <v>22368.636172311311</v>
      </c>
      <c r="F205">
        <f>VLOOKUP(A205,[1]Planilha1!$A:$O,8,0)</f>
        <v>16466.23</v>
      </c>
      <c r="G205" s="2">
        <f t="shared" si="7"/>
        <v>0.73613026172701945</v>
      </c>
    </row>
    <row r="206" spans="1:7" x14ac:dyDescent="0.25">
      <c r="A206" t="str">
        <f t="shared" si="6"/>
        <v>PDV_322025/5</v>
      </c>
      <c r="B206" t="s">
        <v>28</v>
      </c>
      <c r="C206">
        <v>2025</v>
      </c>
      <c r="D206">
        <v>5</v>
      </c>
      <c r="E206">
        <v>22178.73559740245</v>
      </c>
      <c r="F206">
        <f>VLOOKUP(A206,[1]Planilha1!$A:$O,8,0)</f>
        <v>14837.02</v>
      </c>
      <c r="G206" s="2">
        <f t="shared" si="7"/>
        <v>0.66897501594895681</v>
      </c>
    </row>
    <row r="207" spans="1:7" x14ac:dyDescent="0.25">
      <c r="A207" t="str">
        <f t="shared" si="6"/>
        <v>PDV_322025/6</v>
      </c>
      <c r="B207" t="s">
        <v>28</v>
      </c>
      <c r="C207">
        <v>2025</v>
      </c>
      <c r="D207">
        <v>6</v>
      </c>
      <c r="E207">
        <v>21964.242072160239</v>
      </c>
      <c r="F207">
        <f>VLOOKUP(A207,[1]Planilha1!$A:$O,8,0)</f>
        <v>18762</v>
      </c>
      <c r="G207" s="2">
        <f t="shared" si="7"/>
        <v>0.85420657532184585</v>
      </c>
    </row>
    <row r="208" spans="1:7" x14ac:dyDescent="0.25">
      <c r="A208" t="str">
        <f t="shared" si="6"/>
        <v>PDV_322025/7</v>
      </c>
      <c r="B208" t="s">
        <v>28</v>
      </c>
      <c r="C208">
        <v>2025</v>
      </c>
      <c r="D208">
        <v>7</v>
      </c>
      <c r="E208">
        <v>21565.45396340132</v>
      </c>
      <c r="F208">
        <f>VLOOKUP(A208,[1]Planilha1!$A:$O,8,0)</f>
        <v>28776.240000000002</v>
      </c>
      <c r="G208" s="2">
        <f t="shared" si="7"/>
        <v>1.3343674586603227</v>
      </c>
    </row>
    <row r="209" spans="1:7" x14ac:dyDescent="0.25">
      <c r="A209" t="str">
        <f t="shared" si="6"/>
        <v>PDV_322025/8</v>
      </c>
      <c r="B209" t="s">
        <v>28</v>
      </c>
      <c r="C209">
        <v>2025</v>
      </c>
      <c r="D209">
        <v>8</v>
      </c>
      <c r="E209">
        <v>22308.614881819489</v>
      </c>
      <c r="F209">
        <f>VLOOKUP(A209,[1]Planilha1!$A:$O,8,0)</f>
        <v>11729.23</v>
      </c>
      <c r="G209" s="2">
        <f t="shared" si="7"/>
        <v>0.52577132476112587</v>
      </c>
    </row>
    <row r="210" spans="1:7" x14ac:dyDescent="0.25">
      <c r="A210" t="str">
        <f t="shared" si="6"/>
        <v>PDV_332025/1</v>
      </c>
      <c r="B210" t="s">
        <v>29</v>
      </c>
      <c r="C210">
        <v>2025</v>
      </c>
      <c r="D210">
        <v>1</v>
      </c>
      <c r="E210">
        <v>25018.037430790071</v>
      </c>
      <c r="F210">
        <f>VLOOKUP(A210,[1]Planilha1!$A:$O,8,0)</f>
        <v>12062.36</v>
      </c>
      <c r="G210" s="2">
        <f t="shared" si="7"/>
        <v>0.48214653261149393</v>
      </c>
    </row>
    <row r="211" spans="1:7" x14ac:dyDescent="0.25">
      <c r="A211" t="str">
        <f t="shared" si="6"/>
        <v>PDV_332025/2</v>
      </c>
      <c r="B211" t="s">
        <v>29</v>
      </c>
      <c r="C211">
        <v>2025</v>
      </c>
      <c r="D211">
        <v>2</v>
      </c>
      <c r="E211">
        <v>24873.39921546519</v>
      </c>
      <c r="F211">
        <f>VLOOKUP(A211,[1]Planilha1!$A:$O,8,0)</f>
        <v>22700.45</v>
      </c>
      <c r="G211" s="2">
        <f t="shared" si="7"/>
        <v>0.91263963575536777</v>
      </c>
    </row>
    <row r="212" spans="1:7" x14ac:dyDescent="0.25">
      <c r="A212" t="str">
        <f t="shared" si="6"/>
        <v>PDV_332025/3</v>
      </c>
      <c r="B212" t="s">
        <v>29</v>
      </c>
      <c r="C212">
        <v>2025</v>
      </c>
      <c r="D212">
        <v>3</v>
      </c>
      <c r="E212">
        <v>24080.72710497856</v>
      </c>
      <c r="F212">
        <f>VLOOKUP(A212,[1]Planilha1!$A:$O,8,0)</f>
        <v>12111.84</v>
      </c>
      <c r="G212" s="2">
        <f t="shared" si="7"/>
        <v>0.50296820138358456</v>
      </c>
    </row>
    <row r="213" spans="1:7" x14ac:dyDescent="0.25">
      <c r="A213" t="str">
        <f t="shared" si="6"/>
        <v>PDV_332025/4</v>
      </c>
      <c r="B213" t="s">
        <v>29</v>
      </c>
      <c r="C213">
        <v>2025</v>
      </c>
      <c r="D213">
        <v>4</v>
      </c>
      <c r="E213">
        <v>23518.20523984313</v>
      </c>
      <c r="F213">
        <f>VLOOKUP(A213,[1]Planilha1!$A:$O,8,0)</f>
        <v>36801.42</v>
      </c>
      <c r="G213" s="2">
        <f t="shared" si="7"/>
        <v>1.5648056314115859</v>
      </c>
    </row>
    <row r="214" spans="1:7" x14ac:dyDescent="0.25">
      <c r="A214" t="str">
        <f t="shared" si="6"/>
        <v>PDV_332025/5</v>
      </c>
      <c r="B214" t="s">
        <v>29</v>
      </c>
      <c r="C214">
        <v>2025</v>
      </c>
      <c r="D214">
        <v>5</v>
      </c>
      <c r="E214">
        <v>23052.07856189787</v>
      </c>
      <c r="F214">
        <f>VLOOKUP(A214,[1]Planilha1!$A:$O,8,0)</f>
        <v>32064.79</v>
      </c>
      <c r="G214" s="2">
        <f t="shared" si="7"/>
        <v>1.390971747467449</v>
      </c>
    </row>
    <row r="215" spans="1:7" x14ac:dyDescent="0.25">
      <c r="A215" t="str">
        <f t="shared" si="6"/>
        <v>PDV_332025/6</v>
      </c>
      <c r="B215" t="s">
        <v>29</v>
      </c>
      <c r="C215">
        <v>2025</v>
      </c>
      <c r="D215">
        <v>6</v>
      </c>
      <c r="E215">
        <v>22840.317682302</v>
      </c>
      <c r="F215">
        <f>VLOOKUP(A215,[1]Planilha1!$A:$O,8,0)</f>
        <v>20719.259999999998</v>
      </c>
      <c r="G215" s="2">
        <f t="shared" si="7"/>
        <v>0.90713536861417998</v>
      </c>
    </row>
    <row r="216" spans="1:7" x14ac:dyDescent="0.25">
      <c r="A216" t="str">
        <f t="shared" si="6"/>
        <v>PDV_332025/7</v>
      </c>
      <c r="B216" t="s">
        <v>29</v>
      </c>
      <c r="C216">
        <v>2025</v>
      </c>
      <c r="D216">
        <v>7</v>
      </c>
      <c r="E216">
        <v>22731.352976896171</v>
      </c>
      <c r="F216">
        <f>VLOOKUP(A216,[1]Planilha1!$A:$O,8,0)</f>
        <v>30563.46</v>
      </c>
      <c r="G216" s="2">
        <f t="shared" si="7"/>
        <v>1.3445508514633631</v>
      </c>
    </row>
    <row r="217" spans="1:7" x14ac:dyDescent="0.25">
      <c r="A217" t="str">
        <f t="shared" si="6"/>
        <v>PDV_332025/8</v>
      </c>
      <c r="B217" t="s">
        <v>29</v>
      </c>
      <c r="C217">
        <v>2025</v>
      </c>
      <c r="D217">
        <v>8</v>
      </c>
      <c r="E217">
        <v>23117.068972658519</v>
      </c>
      <c r="F217">
        <f>VLOOKUP(A217,[1]Planilha1!$A:$O,8,0)</f>
        <v>10049.5</v>
      </c>
      <c r="G217" s="2">
        <f t="shared" si="7"/>
        <v>0.43472206670689717</v>
      </c>
    </row>
    <row r="218" spans="1:7" x14ac:dyDescent="0.25">
      <c r="A218" t="str">
        <f t="shared" si="6"/>
        <v>PDV_342025/1</v>
      </c>
      <c r="B218" t="s">
        <v>30</v>
      </c>
      <c r="C218">
        <v>2025</v>
      </c>
      <c r="D218">
        <v>1</v>
      </c>
      <c r="E218">
        <v>23639.6179649353</v>
      </c>
      <c r="F218">
        <f>VLOOKUP(A218,[1]Planilha1!$A:$O,8,0)</f>
        <v>30622.32</v>
      </c>
      <c r="G218" s="2">
        <f t="shared" si="7"/>
        <v>1.2953813401478043</v>
      </c>
    </row>
    <row r="219" spans="1:7" x14ac:dyDescent="0.25">
      <c r="A219" t="str">
        <f t="shared" si="6"/>
        <v>PDV_342025/2</v>
      </c>
      <c r="B219" t="s">
        <v>30</v>
      </c>
      <c r="C219">
        <v>2025</v>
      </c>
      <c r="D219">
        <v>2</v>
      </c>
      <c r="E219">
        <v>22857.572822113041</v>
      </c>
      <c r="F219">
        <f>VLOOKUP(A219,[1]Planilha1!$A:$O,8,0)</f>
        <v>22347.26</v>
      </c>
      <c r="G219" s="2">
        <f t="shared" si="7"/>
        <v>0.97767423400181175</v>
      </c>
    </row>
    <row r="220" spans="1:7" x14ac:dyDescent="0.25">
      <c r="A220" t="str">
        <f t="shared" si="6"/>
        <v>PDV_342025/3</v>
      </c>
      <c r="B220" t="s">
        <v>30</v>
      </c>
      <c r="C220">
        <v>2025</v>
      </c>
      <c r="D220">
        <v>3</v>
      </c>
      <c r="E220">
        <v>21634.969274215699</v>
      </c>
      <c r="F220">
        <f>VLOOKUP(A220,[1]Planilha1!$A:$O,8,0)</f>
        <v>11380.2</v>
      </c>
      <c r="G220" s="2">
        <f t="shared" si="7"/>
        <v>0.52600952909892917</v>
      </c>
    </row>
    <row r="221" spans="1:7" x14ac:dyDescent="0.25">
      <c r="A221" t="str">
        <f t="shared" si="6"/>
        <v>PDV_342025/4</v>
      </c>
      <c r="B221" t="s">
        <v>30</v>
      </c>
      <c r="C221">
        <v>2025</v>
      </c>
      <c r="D221">
        <v>4</v>
      </c>
      <c r="E221">
        <v>20939.479157180791</v>
      </c>
      <c r="F221">
        <f>VLOOKUP(A221,[1]Planilha1!$A:$O,8,0)</f>
        <v>18449.5</v>
      </c>
      <c r="G221" s="2">
        <f t="shared" si="7"/>
        <v>0.88108686283503379</v>
      </c>
    </row>
    <row r="222" spans="1:7" x14ac:dyDescent="0.25">
      <c r="A222" t="str">
        <f t="shared" si="6"/>
        <v>PDV_342025/5</v>
      </c>
      <c r="B222" t="s">
        <v>30</v>
      </c>
      <c r="C222">
        <v>2025</v>
      </c>
      <c r="D222">
        <v>5</v>
      </c>
      <c r="E222">
        <v>20628.22015678406</v>
      </c>
      <c r="F222">
        <f>VLOOKUP(A222,[1]Planilha1!$A:$O,8,0)</f>
        <v>17203.98</v>
      </c>
      <c r="G222" s="2">
        <f t="shared" si="7"/>
        <v>0.83400215186970839</v>
      </c>
    </row>
    <row r="223" spans="1:7" x14ac:dyDescent="0.25">
      <c r="A223" t="str">
        <f t="shared" si="6"/>
        <v>PDV_342025/6</v>
      </c>
      <c r="B223" t="s">
        <v>30</v>
      </c>
      <c r="C223">
        <v>2025</v>
      </c>
      <c r="D223">
        <v>6</v>
      </c>
      <c r="E223">
        <v>20647.98213745117</v>
      </c>
      <c r="F223">
        <f>VLOOKUP(A223,[1]Planilha1!$A:$O,8,0)</f>
        <v>14317.38</v>
      </c>
      <c r="G223" s="2">
        <f t="shared" si="7"/>
        <v>0.69340335073378589</v>
      </c>
    </row>
    <row r="224" spans="1:7" x14ac:dyDescent="0.25">
      <c r="A224" t="str">
        <f t="shared" si="6"/>
        <v>PDV_342025/7</v>
      </c>
      <c r="B224" t="s">
        <v>30</v>
      </c>
      <c r="C224">
        <v>2025</v>
      </c>
      <c r="D224">
        <v>7</v>
      </c>
      <c r="E224">
        <v>20517.12655784607</v>
      </c>
      <c r="F224">
        <f>VLOOKUP(A224,[1]Planilha1!$A:$O,8,0)</f>
        <v>20742.52</v>
      </c>
      <c r="G224" s="2">
        <f t="shared" si="7"/>
        <v>1.0109856242061215</v>
      </c>
    </row>
    <row r="225" spans="1:7" x14ac:dyDescent="0.25">
      <c r="A225" t="str">
        <f t="shared" si="6"/>
        <v>PDV_342025/8</v>
      </c>
      <c r="B225" t="s">
        <v>30</v>
      </c>
      <c r="C225">
        <v>2025</v>
      </c>
      <c r="D225">
        <v>8</v>
      </c>
      <c r="E225">
        <v>20990.331015319829</v>
      </c>
      <c r="F225">
        <f>VLOOKUP(A225,[1]Planilha1!$A:$O,8,0)</f>
        <v>21101.79</v>
      </c>
      <c r="G225" s="2">
        <f t="shared" si="7"/>
        <v>1.005310015578069</v>
      </c>
    </row>
    <row r="226" spans="1:7" x14ac:dyDescent="0.25">
      <c r="A226" t="str">
        <f t="shared" si="6"/>
        <v>PDV_352025/1</v>
      </c>
      <c r="B226" t="s">
        <v>31</v>
      </c>
      <c r="C226">
        <v>2025</v>
      </c>
      <c r="D226">
        <v>1</v>
      </c>
      <c r="E226">
        <v>22231.74312859416</v>
      </c>
      <c r="F226">
        <f>VLOOKUP(A226,[1]Planilha1!$A:$O,8,0)</f>
        <v>25128.799999999999</v>
      </c>
      <c r="G226" s="2">
        <f t="shared" si="7"/>
        <v>1.1303117283538457</v>
      </c>
    </row>
    <row r="227" spans="1:7" x14ac:dyDescent="0.25">
      <c r="A227" t="str">
        <f t="shared" si="6"/>
        <v>PDV_352025/2</v>
      </c>
      <c r="B227" t="s">
        <v>31</v>
      </c>
      <c r="C227">
        <v>2025</v>
      </c>
      <c r="D227">
        <v>2</v>
      </c>
      <c r="E227">
        <v>22320.785896520611</v>
      </c>
      <c r="F227">
        <f>VLOOKUP(A227,[1]Planilha1!$A:$O,8,0)</f>
        <v>21273.919999999998</v>
      </c>
      <c r="G227" s="2">
        <f t="shared" si="7"/>
        <v>0.95309905747163681</v>
      </c>
    </row>
    <row r="228" spans="1:7" x14ac:dyDescent="0.25">
      <c r="A228" t="str">
        <f t="shared" si="6"/>
        <v>PDV_352025/3</v>
      </c>
      <c r="B228" t="s">
        <v>31</v>
      </c>
      <c r="C228">
        <v>2025</v>
      </c>
      <c r="D228">
        <v>3</v>
      </c>
      <c r="E228">
        <v>22205.885024737119</v>
      </c>
      <c r="F228">
        <f>VLOOKUP(A228,[1]Planilha1!$A:$O,8,0)</f>
        <v>12683.3</v>
      </c>
      <c r="G228" s="2">
        <f t="shared" si="7"/>
        <v>0.57116840809861613</v>
      </c>
    </row>
    <row r="229" spans="1:7" x14ac:dyDescent="0.25">
      <c r="A229" t="str">
        <f t="shared" si="6"/>
        <v>PDV_352025/4</v>
      </c>
      <c r="B229" t="s">
        <v>31</v>
      </c>
      <c r="C229">
        <v>2025</v>
      </c>
      <c r="D229">
        <v>4</v>
      </c>
      <c r="E229">
        <v>22084.023148099179</v>
      </c>
      <c r="F229">
        <f>VLOOKUP(A229,[1]Planilha1!$A:$O,8,0)</f>
        <v>26971.77</v>
      </c>
      <c r="G229" s="2">
        <f t="shared" si="7"/>
        <v>1.2213250194098588</v>
      </c>
    </row>
    <row r="230" spans="1:7" x14ac:dyDescent="0.25">
      <c r="A230" t="str">
        <f t="shared" si="6"/>
        <v>PDV_352025/5</v>
      </c>
      <c r="B230" t="s">
        <v>31</v>
      </c>
      <c r="C230">
        <v>2025</v>
      </c>
      <c r="D230">
        <v>5</v>
      </c>
      <c r="E230">
        <v>22136.8291372776</v>
      </c>
      <c r="F230">
        <f>VLOOKUP(A230,[1]Planilha1!$A:$O,8,0)</f>
        <v>15114.89</v>
      </c>
      <c r="G230" s="2">
        <f t="shared" si="7"/>
        <v>0.68279381415774154</v>
      </c>
    </row>
    <row r="231" spans="1:7" x14ac:dyDescent="0.25">
      <c r="A231" t="str">
        <f t="shared" si="6"/>
        <v>PDV_352025/6</v>
      </c>
      <c r="B231" t="s">
        <v>31</v>
      </c>
      <c r="C231">
        <v>2025</v>
      </c>
      <c r="D231">
        <v>6</v>
      </c>
      <c r="E231">
        <v>22187.10329012393</v>
      </c>
      <c r="F231">
        <f>VLOOKUP(A231,[1]Planilha1!$A:$O,8,0)</f>
        <v>25161.86</v>
      </c>
      <c r="G231" s="2">
        <f t="shared" si="7"/>
        <v>1.1340759391155046</v>
      </c>
    </row>
    <row r="232" spans="1:7" x14ac:dyDescent="0.25">
      <c r="A232" t="str">
        <f t="shared" si="6"/>
        <v>PDV_352025/7</v>
      </c>
      <c r="B232" t="s">
        <v>31</v>
      </c>
      <c r="C232">
        <v>2025</v>
      </c>
      <c r="D232">
        <v>7</v>
      </c>
      <c r="E232">
        <v>22022.088951607941</v>
      </c>
      <c r="F232">
        <f>VLOOKUP(A232,[1]Planilha1!$A:$O,8,0)</f>
        <v>22217.69</v>
      </c>
      <c r="G232" s="2">
        <f t="shared" si="7"/>
        <v>1.0088820387939528</v>
      </c>
    </row>
    <row r="233" spans="1:7" x14ac:dyDescent="0.25">
      <c r="A233" t="str">
        <f t="shared" si="6"/>
        <v>PDV_352025/8</v>
      </c>
      <c r="B233" t="s">
        <v>31</v>
      </c>
      <c r="C233">
        <v>2025</v>
      </c>
      <c r="D233">
        <v>8</v>
      </c>
      <c r="E233">
        <v>22248.135172283641</v>
      </c>
      <c r="F233">
        <f>VLOOKUP(A233,[1]Planilha1!$A:$O,8,0)</f>
        <v>25300.82</v>
      </c>
      <c r="G233" s="2">
        <f t="shared" si="7"/>
        <v>1.1372108180787819</v>
      </c>
    </row>
    <row r="234" spans="1:7" x14ac:dyDescent="0.25">
      <c r="A234" t="str">
        <f t="shared" si="6"/>
        <v>PDV_362025/1</v>
      </c>
      <c r="B234" t="s">
        <v>32</v>
      </c>
      <c r="C234">
        <v>2025</v>
      </c>
      <c r="D234">
        <v>1</v>
      </c>
      <c r="E234">
        <v>24977.115607755179</v>
      </c>
      <c r="F234">
        <f>VLOOKUP(A234,[1]Planilha1!$A:$O,8,0)</f>
        <v>27818.19</v>
      </c>
      <c r="G234" s="2">
        <f t="shared" si="7"/>
        <v>1.1137470970171868</v>
      </c>
    </row>
    <row r="235" spans="1:7" x14ac:dyDescent="0.25">
      <c r="A235" t="str">
        <f t="shared" si="6"/>
        <v>PDV_362025/2</v>
      </c>
      <c r="B235" t="s">
        <v>32</v>
      </c>
      <c r="C235">
        <v>2025</v>
      </c>
      <c r="D235">
        <v>2</v>
      </c>
      <c r="E235">
        <v>25652.04273672104</v>
      </c>
      <c r="F235">
        <f>VLOOKUP(A235,[1]Planilha1!$A:$O,8,0)</f>
        <v>25956.77</v>
      </c>
      <c r="G235" s="2">
        <f t="shared" si="7"/>
        <v>1.0118792591454224</v>
      </c>
    </row>
    <row r="236" spans="1:7" x14ac:dyDescent="0.25">
      <c r="A236" t="str">
        <f t="shared" si="6"/>
        <v>PDV_362025/3</v>
      </c>
      <c r="B236" t="s">
        <v>32</v>
      </c>
      <c r="C236">
        <v>2025</v>
      </c>
      <c r="D236">
        <v>3</v>
      </c>
      <c r="E236">
        <v>25831.12030634403</v>
      </c>
      <c r="F236">
        <f>VLOOKUP(A236,[1]Planilha1!$A:$O,8,0)</f>
        <v>12724.22</v>
      </c>
      <c r="G236" s="2">
        <f t="shared" si="7"/>
        <v>0.49259264983853512</v>
      </c>
    </row>
    <row r="237" spans="1:7" x14ac:dyDescent="0.25">
      <c r="A237" t="str">
        <f t="shared" si="6"/>
        <v>PDV_362025/4</v>
      </c>
      <c r="B237" t="s">
        <v>32</v>
      </c>
      <c r="C237">
        <v>2025</v>
      </c>
      <c r="D237">
        <v>4</v>
      </c>
      <c r="E237">
        <v>25412.037884011261</v>
      </c>
      <c r="F237">
        <f>VLOOKUP(A237,[1]Planilha1!$A:$O,8,0)</f>
        <v>24854.18</v>
      </c>
      <c r="G237" s="2">
        <f t="shared" si="7"/>
        <v>0.97804749518486067</v>
      </c>
    </row>
    <row r="238" spans="1:7" x14ac:dyDescent="0.25">
      <c r="A238" t="str">
        <f t="shared" si="6"/>
        <v>PDV_362025/5</v>
      </c>
      <c r="B238" t="s">
        <v>32</v>
      </c>
      <c r="C238">
        <v>2025</v>
      </c>
      <c r="D238">
        <v>5</v>
      </c>
      <c r="E238">
        <v>24976.693526489729</v>
      </c>
      <c r="F238">
        <f>VLOOKUP(A238,[1]Planilha1!$A:$O,8,0)</f>
        <v>22115.07</v>
      </c>
      <c r="G238" s="2">
        <f t="shared" si="7"/>
        <v>0.88542824840066381</v>
      </c>
    </row>
    <row r="239" spans="1:7" x14ac:dyDescent="0.25">
      <c r="A239" t="str">
        <f t="shared" si="6"/>
        <v>PDV_362025/6</v>
      </c>
      <c r="B239" t="s">
        <v>32</v>
      </c>
      <c r="C239">
        <v>2025</v>
      </c>
      <c r="D239">
        <v>6</v>
      </c>
      <c r="E239">
        <v>24593.333051815029</v>
      </c>
      <c r="F239">
        <f>VLOOKUP(A239,[1]Planilha1!$A:$O,8,0)</f>
        <v>22067.49</v>
      </c>
      <c r="G239" s="2">
        <f t="shared" si="7"/>
        <v>0.89729561883729236</v>
      </c>
    </row>
    <row r="240" spans="1:7" x14ac:dyDescent="0.25">
      <c r="A240" t="str">
        <f t="shared" si="6"/>
        <v>PDV_362025/7</v>
      </c>
      <c r="B240" t="s">
        <v>32</v>
      </c>
      <c r="C240">
        <v>2025</v>
      </c>
      <c r="D240">
        <v>7</v>
      </c>
      <c r="E240">
        <v>23963.447601945401</v>
      </c>
      <c r="F240">
        <f>VLOOKUP(A240,[1]Planilha1!$A:$O,8,0)</f>
        <v>15748.71</v>
      </c>
      <c r="G240" s="2">
        <f t="shared" si="7"/>
        <v>0.65719717219326512</v>
      </c>
    </row>
    <row r="241" spans="1:7" x14ac:dyDescent="0.25">
      <c r="A241" t="str">
        <f t="shared" si="6"/>
        <v>PDV_362025/8</v>
      </c>
      <c r="B241" t="s">
        <v>32</v>
      </c>
      <c r="C241">
        <v>2025</v>
      </c>
      <c r="D241">
        <v>8</v>
      </c>
      <c r="E241">
        <v>24442.667749753</v>
      </c>
      <c r="F241">
        <f>VLOOKUP(A241,[1]Planilha1!$A:$O,8,0)</f>
        <v>14141.57</v>
      </c>
      <c r="G241" s="2">
        <f t="shared" si="7"/>
        <v>0.57856082424320909</v>
      </c>
    </row>
    <row r="242" spans="1:7" x14ac:dyDescent="0.25">
      <c r="A242" t="str">
        <f t="shared" si="6"/>
        <v>PDV_372025/1</v>
      </c>
      <c r="B242" t="s">
        <v>33</v>
      </c>
      <c r="C242">
        <v>2025</v>
      </c>
      <c r="D242">
        <v>1</v>
      </c>
      <c r="E242">
        <v>23141.859607002742</v>
      </c>
      <c r="F242">
        <f>VLOOKUP(A242,[1]Planilha1!$A:$O,8,0)</f>
        <v>22616.11</v>
      </c>
      <c r="G242" s="2">
        <f t="shared" si="7"/>
        <v>0.97728144514178761</v>
      </c>
    </row>
    <row r="243" spans="1:7" x14ac:dyDescent="0.25">
      <c r="A243" t="str">
        <f t="shared" si="6"/>
        <v>PDV_372025/2</v>
      </c>
      <c r="B243" t="s">
        <v>33</v>
      </c>
      <c r="C243">
        <v>2025</v>
      </c>
      <c r="D243">
        <v>2</v>
      </c>
      <c r="E243">
        <v>22776.843046144251</v>
      </c>
      <c r="F243">
        <f>VLOOKUP(A243,[1]Planilha1!$A:$O,8,0)</f>
        <v>10031.41</v>
      </c>
      <c r="G243" s="2">
        <f t="shared" si="7"/>
        <v>0.44042143942762751</v>
      </c>
    </row>
    <row r="244" spans="1:7" x14ac:dyDescent="0.25">
      <c r="A244" t="str">
        <f t="shared" si="6"/>
        <v>PDV_372025/3</v>
      </c>
      <c r="B244" t="s">
        <v>33</v>
      </c>
      <c r="C244">
        <v>2025</v>
      </c>
      <c r="D244">
        <v>3</v>
      </c>
      <c r="E244">
        <v>22206.27237263084</v>
      </c>
      <c r="F244">
        <f>VLOOKUP(A244,[1]Planilha1!$A:$O,8,0)</f>
        <v>19929.66</v>
      </c>
      <c r="G244" s="2">
        <f t="shared" si="7"/>
        <v>0.8974788593768328</v>
      </c>
    </row>
    <row r="245" spans="1:7" x14ac:dyDescent="0.25">
      <c r="A245" t="str">
        <f t="shared" si="6"/>
        <v>PDV_372025/4</v>
      </c>
      <c r="B245" t="s">
        <v>33</v>
      </c>
      <c r="C245">
        <v>2025</v>
      </c>
      <c r="D245">
        <v>4</v>
      </c>
      <c r="E245">
        <v>21510.37567970515</v>
      </c>
      <c r="F245">
        <f>VLOOKUP(A245,[1]Planilha1!$A:$O,8,0)</f>
        <v>19236.68</v>
      </c>
      <c r="G245" s="2">
        <f t="shared" si="7"/>
        <v>0.89429772340748281</v>
      </c>
    </row>
    <row r="246" spans="1:7" x14ac:dyDescent="0.25">
      <c r="A246" t="str">
        <f t="shared" si="6"/>
        <v>PDV_372025/5</v>
      </c>
      <c r="B246" t="s">
        <v>33</v>
      </c>
      <c r="C246">
        <v>2025</v>
      </c>
      <c r="D246">
        <v>5</v>
      </c>
      <c r="E246">
        <v>20823.674320486789</v>
      </c>
      <c r="F246">
        <f>VLOOKUP(A246,[1]Planilha1!$A:$O,8,0)</f>
        <v>21912.53</v>
      </c>
      <c r="G246" s="2">
        <f t="shared" si="7"/>
        <v>1.0522893156488704</v>
      </c>
    </row>
    <row r="247" spans="1:7" x14ac:dyDescent="0.25">
      <c r="A247" t="str">
        <f t="shared" si="6"/>
        <v>PDV_372025/6</v>
      </c>
      <c r="B247" t="s">
        <v>33</v>
      </c>
      <c r="C247">
        <v>2025</v>
      </c>
      <c r="D247">
        <v>6</v>
      </c>
      <c r="E247">
        <v>20250.792880008219</v>
      </c>
      <c r="F247">
        <f>VLOOKUP(A247,[1]Planilha1!$A:$O,8,0)</f>
        <v>35922.120000000003</v>
      </c>
      <c r="G247" s="2">
        <f t="shared" si="7"/>
        <v>1.7738623970354599</v>
      </c>
    </row>
    <row r="248" spans="1:7" x14ac:dyDescent="0.25">
      <c r="A248" t="str">
        <f t="shared" si="6"/>
        <v>PDV_372025/7</v>
      </c>
      <c r="B248" t="s">
        <v>33</v>
      </c>
      <c r="C248">
        <v>2025</v>
      </c>
      <c r="D248">
        <v>7</v>
      </c>
      <c r="E248">
        <v>19930.09531072736</v>
      </c>
      <c r="F248">
        <f>VLOOKUP(A248,[1]Planilha1!$A:$O,8,0)</f>
        <v>27562.91</v>
      </c>
      <c r="G248" s="2">
        <f t="shared" si="7"/>
        <v>1.3829793370413177</v>
      </c>
    </row>
    <row r="249" spans="1:7" x14ac:dyDescent="0.25">
      <c r="A249" t="str">
        <f t="shared" si="6"/>
        <v>PDV_372025/8</v>
      </c>
      <c r="B249" t="s">
        <v>33</v>
      </c>
      <c r="C249">
        <v>2025</v>
      </c>
      <c r="D249">
        <v>8</v>
      </c>
      <c r="E249">
        <v>20588.490317056181</v>
      </c>
      <c r="F249">
        <f>VLOOKUP(A249,[1]Planilha1!$A:$O,8,0)</f>
        <v>21409.85</v>
      </c>
      <c r="G249" s="2">
        <f t="shared" si="7"/>
        <v>1.0398941190099489</v>
      </c>
    </row>
    <row r="250" spans="1:7" x14ac:dyDescent="0.25">
      <c r="A250" t="str">
        <f t="shared" si="6"/>
        <v>PDV_382025/1</v>
      </c>
      <c r="B250" t="s">
        <v>34</v>
      </c>
      <c r="C250">
        <v>2025</v>
      </c>
      <c r="D250">
        <v>1</v>
      </c>
      <c r="E250">
        <v>22034.56936820746</v>
      </c>
      <c r="F250">
        <f>VLOOKUP(A250,[1]Planilha1!$A:$O,8,0)</f>
        <v>23197.66</v>
      </c>
      <c r="G250" s="2">
        <f t="shared" si="7"/>
        <v>1.0527848133701538</v>
      </c>
    </row>
    <row r="251" spans="1:7" x14ac:dyDescent="0.25">
      <c r="A251" t="str">
        <f t="shared" si="6"/>
        <v>PDV_382025/2</v>
      </c>
      <c r="B251" t="s">
        <v>34</v>
      </c>
      <c r="C251">
        <v>2025</v>
      </c>
      <c r="D251">
        <v>2</v>
      </c>
      <c r="E251">
        <v>21778.10119987428</v>
      </c>
      <c r="F251">
        <f>VLOOKUP(A251,[1]Planilha1!$A:$O,8,0)</f>
        <v>16874.34</v>
      </c>
      <c r="G251" s="2">
        <f t="shared" si="7"/>
        <v>0.77483063583603018</v>
      </c>
    </row>
    <row r="252" spans="1:7" x14ac:dyDescent="0.25">
      <c r="A252" t="str">
        <f t="shared" si="6"/>
        <v>PDV_382025/3</v>
      </c>
      <c r="B252" t="s">
        <v>34</v>
      </c>
      <c r="C252">
        <v>2025</v>
      </c>
      <c r="D252">
        <v>3</v>
      </c>
      <c r="E252">
        <v>21628.378134725099</v>
      </c>
      <c r="F252">
        <f>VLOOKUP(A252,[1]Planilha1!$A:$O,8,0)</f>
        <v>20527.599999999999</v>
      </c>
      <c r="G252" s="2">
        <f t="shared" si="7"/>
        <v>0.94910491540936381</v>
      </c>
    </row>
    <row r="253" spans="1:7" x14ac:dyDescent="0.25">
      <c r="A253" t="str">
        <f t="shared" si="6"/>
        <v>PDV_382025/4</v>
      </c>
      <c r="B253" t="s">
        <v>34</v>
      </c>
      <c r="C253">
        <v>2025</v>
      </c>
      <c r="D253">
        <v>4</v>
      </c>
      <c r="E253">
        <v>21221.000796617271</v>
      </c>
      <c r="F253">
        <f>VLOOKUP(A253,[1]Planilha1!$A:$O,8,0)</f>
        <v>29681.18</v>
      </c>
      <c r="G253" s="2">
        <f t="shared" si="7"/>
        <v>1.3986701326890918</v>
      </c>
    </row>
    <row r="254" spans="1:7" x14ac:dyDescent="0.25">
      <c r="A254" t="str">
        <f t="shared" si="6"/>
        <v>PDV_382025/5</v>
      </c>
      <c r="B254" t="s">
        <v>34</v>
      </c>
      <c r="C254">
        <v>2025</v>
      </c>
      <c r="D254">
        <v>5</v>
      </c>
      <c r="E254">
        <v>20858.67171218455</v>
      </c>
      <c r="F254">
        <f>VLOOKUP(A254,[1]Planilha1!$A:$O,8,0)</f>
        <v>16871.03</v>
      </c>
      <c r="G254" s="2">
        <f t="shared" si="7"/>
        <v>0.80882571204880804</v>
      </c>
    </row>
    <row r="255" spans="1:7" x14ac:dyDescent="0.25">
      <c r="A255" t="str">
        <f t="shared" si="6"/>
        <v>PDV_382025/6</v>
      </c>
      <c r="B255" t="s">
        <v>34</v>
      </c>
      <c r="C255">
        <v>2025</v>
      </c>
      <c r="D255">
        <v>6</v>
      </c>
      <c r="E255">
        <v>20298.513315547709</v>
      </c>
      <c r="F255">
        <f>VLOOKUP(A255,[1]Planilha1!$A:$O,8,0)</f>
        <v>27913.38</v>
      </c>
      <c r="G255" s="2">
        <f t="shared" si="7"/>
        <v>1.3751440593740263</v>
      </c>
    </row>
    <row r="256" spans="1:7" x14ac:dyDescent="0.25">
      <c r="A256" t="str">
        <f t="shared" si="6"/>
        <v>PDV_382025/7</v>
      </c>
      <c r="B256" t="s">
        <v>34</v>
      </c>
      <c r="C256">
        <v>2025</v>
      </c>
      <c r="D256">
        <v>7</v>
      </c>
      <c r="E256">
        <v>19902.46866799772</v>
      </c>
      <c r="F256">
        <f>VLOOKUP(A256,[1]Planilha1!$A:$O,8,0)</f>
        <v>32797.379999999997</v>
      </c>
      <c r="G256" s="2">
        <f t="shared" si="7"/>
        <v>1.6479051190637832</v>
      </c>
    </row>
    <row r="257" spans="1:7" x14ac:dyDescent="0.25">
      <c r="A257" t="str">
        <f t="shared" si="6"/>
        <v>PDV_382025/8</v>
      </c>
      <c r="B257" t="s">
        <v>34</v>
      </c>
      <c r="C257">
        <v>2025</v>
      </c>
      <c r="D257">
        <v>8</v>
      </c>
      <c r="E257">
        <v>20432.519416132571</v>
      </c>
      <c r="F257">
        <f>VLOOKUP(A257,[1]Planilha1!$A:$O,8,0)</f>
        <v>18218.88</v>
      </c>
      <c r="G257" s="2">
        <f t="shared" si="7"/>
        <v>0.89166096598029987</v>
      </c>
    </row>
    <row r="258" spans="1:7" x14ac:dyDescent="0.25">
      <c r="A258" t="str">
        <f t="shared" si="6"/>
        <v>PDV_392025/1</v>
      </c>
      <c r="B258" t="s">
        <v>35</v>
      </c>
      <c r="C258">
        <v>2025</v>
      </c>
      <c r="D258">
        <v>1</v>
      </c>
      <c r="E258">
        <v>25801.086240588429</v>
      </c>
      <c r="F258">
        <f>VLOOKUP(A258,[1]Planilha1!$A:$O,8,0)</f>
        <v>23022.15</v>
      </c>
      <c r="G258" s="2">
        <f t="shared" si="7"/>
        <v>0.89229382768323906</v>
      </c>
    </row>
    <row r="259" spans="1:7" x14ac:dyDescent="0.25">
      <c r="A259" t="str">
        <f t="shared" ref="A259:A322" si="8">B259&amp;C259&amp;"/"&amp;D259</f>
        <v>PDV_392025/2</v>
      </c>
      <c r="B259" t="s">
        <v>35</v>
      </c>
      <c r="C259">
        <v>2025</v>
      </c>
      <c r="D259">
        <v>2</v>
      </c>
      <c r="E259">
        <v>23766.831282106341</v>
      </c>
      <c r="F259">
        <f>VLOOKUP(A259,[1]Planilha1!$A:$O,8,0)</f>
        <v>21907.96</v>
      </c>
      <c r="G259" s="2">
        <f t="shared" ref="G259:G322" si="9">F259/E259</f>
        <v>0.9217871637980678</v>
      </c>
    </row>
    <row r="260" spans="1:7" x14ac:dyDescent="0.25">
      <c r="A260" t="str">
        <f t="shared" si="8"/>
        <v>PDV_392025/3</v>
      </c>
      <c r="B260" t="s">
        <v>35</v>
      </c>
      <c r="C260">
        <v>2025</v>
      </c>
      <c r="D260">
        <v>3</v>
      </c>
      <c r="E260">
        <v>22344.411842454971</v>
      </c>
      <c r="F260">
        <f>VLOOKUP(A260,[1]Planilha1!$A:$O,8,0)</f>
        <v>21837.26</v>
      </c>
      <c r="G260" s="2">
        <f t="shared" si="9"/>
        <v>0.97730296746986334</v>
      </c>
    </row>
    <row r="261" spans="1:7" x14ac:dyDescent="0.25">
      <c r="A261" t="str">
        <f t="shared" si="8"/>
        <v>PDV_392025/4</v>
      </c>
      <c r="B261" t="s">
        <v>35</v>
      </c>
      <c r="C261">
        <v>2025</v>
      </c>
      <c r="D261">
        <v>4</v>
      </c>
      <c r="E261">
        <v>21770.16078229457</v>
      </c>
      <c r="F261">
        <f>VLOOKUP(A261,[1]Planilha1!$A:$O,8,0)</f>
        <v>15706.77</v>
      </c>
      <c r="G261" s="2">
        <f t="shared" si="9"/>
        <v>0.72148158008893271</v>
      </c>
    </row>
    <row r="262" spans="1:7" x14ac:dyDescent="0.25">
      <c r="A262" t="str">
        <f t="shared" si="8"/>
        <v>PDV_392025/5</v>
      </c>
      <c r="B262" t="s">
        <v>35</v>
      </c>
      <c r="C262">
        <v>2025</v>
      </c>
      <c r="D262">
        <v>5</v>
      </c>
      <c r="E262">
        <v>21187.931389704048</v>
      </c>
      <c r="F262">
        <f>VLOOKUP(A262,[1]Planilha1!$A:$O,8,0)</f>
        <v>28870.240000000002</v>
      </c>
      <c r="G262" s="2">
        <f t="shared" si="9"/>
        <v>1.3625794547375707</v>
      </c>
    </row>
    <row r="263" spans="1:7" x14ac:dyDescent="0.25">
      <c r="A263" t="str">
        <f t="shared" si="8"/>
        <v>PDV_392025/6</v>
      </c>
      <c r="B263" t="s">
        <v>35</v>
      </c>
      <c r="C263">
        <v>2025</v>
      </c>
      <c r="D263">
        <v>6</v>
      </c>
      <c r="E263">
        <v>21552.56397699624</v>
      </c>
      <c r="F263">
        <f>VLOOKUP(A263,[1]Planilha1!$A:$O,8,0)</f>
        <v>16411.400000000001</v>
      </c>
      <c r="G263" s="2">
        <f t="shared" si="9"/>
        <v>0.76145928704892973</v>
      </c>
    </row>
    <row r="264" spans="1:7" x14ac:dyDescent="0.25">
      <c r="A264" t="str">
        <f t="shared" si="8"/>
        <v>PDV_392025/7</v>
      </c>
      <c r="B264" t="s">
        <v>35</v>
      </c>
      <c r="C264">
        <v>2025</v>
      </c>
      <c r="D264">
        <v>7</v>
      </c>
      <c r="E264">
        <v>21510.120876699089</v>
      </c>
      <c r="F264">
        <f>VLOOKUP(A264,[1]Planilha1!$A:$O,8,0)</f>
        <v>29970.76</v>
      </c>
      <c r="G264" s="2">
        <f t="shared" si="9"/>
        <v>1.3933329418183755</v>
      </c>
    </row>
    <row r="265" spans="1:7" x14ac:dyDescent="0.25">
      <c r="A265" t="str">
        <f t="shared" si="8"/>
        <v>PDV_392025/8</v>
      </c>
      <c r="B265" t="s">
        <v>35</v>
      </c>
      <c r="C265">
        <v>2025</v>
      </c>
      <c r="D265">
        <v>8</v>
      </c>
      <c r="E265">
        <v>22121.39302756637</v>
      </c>
      <c r="F265">
        <f>VLOOKUP(A265,[1]Planilha1!$A:$O,8,0)</f>
        <v>13210.24</v>
      </c>
      <c r="G265" s="2">
        <f t="shared" si="9"/>
        <v>0.59717034924239087</v>
      </c>
    </row>
    <row r="266" spans="1:7" x14ac:dyDescent="0.25">
      <c r="A266" t="str">
        <f t="shared" si="8"/>
        <v>PDV_42025/1</v>
      </c>
      <c r="B266" t="s">
        <v>36</v>
      </c>
      <c r="C266">
        <v>2025</v>
      </c>
      <c r="D266">
        <v>1</v>
      </c>
      <c r="E266">
        <v>23688.495207643511</v>
      </c>
      <c r="F266">
        <f>VLOOKUP(A266,[1]Planilha1!$A:$O,8,0)</f>
        <v>13719.39</v>
      </c>
      <c r="G266" s="2">
        <f t="shared" si="9"/>
        <v>0.57915835850869901</v>
      </c>
    </row>
    <row r="267" spans="1:7" x14ac:dyDescent="0.25">
      <c r="A267" t="str">
        <f t="shared" si="8"/>
        <v>PDV_42025/2</v>
      </c>
      <c r="B267" t="s">
        <v>36</v>
      </c>
      <c r="C267">
        <v>2025</v>
      </c>
      <c r="D267">
        <v>2</v>
      </c>
      <c r="E267">
        <v>22833.79763709068</v>
      </c>
      <c r="F267">
        <f>VLOOKUP(A267,[1]Planilha1!$A:$O,8,0)</f>
        <v>26604.94</v>
      </c>
      <c r="G267" s="2">
        <f t="shared" si="9"/>
        <v>1.1651561611802832</v>
      </c>
    </row>
    <row r="268" spans="1:7" x14ac:dyDescent="0.25">
      <c r="A268" t="str">
        <f t="shared" si="8"/>
        <v>PDV_42025/3</v>
      </c>
      <c r="B268" t="s">
        <v>36</v>
      </c>
      <c r="C268">
        <v>2025</v>
      </c>
      <c r="D268">
        <v>3</v>
      </c>
      <c r="E268">
        <v>22263.797785148621</v>
      </c>
      <c r="F268">
        <f>VLOOKUP(A268,[1]Planilha1!$A:$O,8,0)</f>
        <v>9106.34</v>
      </c>
      <c r="G268" s="2">
        <f t="shared" si="9"/>
        <v>0.40902006422617221</v>
      </c>
    </row>
    <row r="269" spans="1:7" x14ac:dyDescent="0.25">
      <c r="A269" t="str">
        <f t="shared" si="8"/>
        <v>PDV_42025/4</v>
      </c>
      <c r="B269" t="s">
        <v>36</v>
      </c>
      <c r="C269">
        <v>2025</v>
      </c>
      <c r="D269">
        <v>4</v>
      </c>
      <c r="E269">
        <v>22077.107177457809</v>
      </c>
      <c r="F269">
        <f>VLOOKUP(A269,[1]Planilha1!$A:$O,8,0)</f>
        <v>27297.68</v>
      </c>
      <c r="G269" s="2">
        <f t="shared" si="9"/>
        <v>1.2364699677624766</v>
      </c>
    </row>
    <row r="270" spans="1:7" x14ac:dyDescent="0.25">
      <c r="A270" t="str">
        <f t="shared" si="8"/>
        <v>PDV_42025/5</v>
      </c>
      <c r="B270" t="s">
        <v>36</v>
      </c>
      <c r="C270">
        <v>2025</v>
      </c>
      <c r="D270">
        <v>5</v>
      </c>
      <c r="E270">
        <v>21753.919961738589</v>
      </c>
      <c r="F270">
        <f>VLOOKUP(A270,[1]Planilha1!$A:$O,8,0)</f>
        <v>24490.7</v>
      </c>
      <c r="G270" s="2">
        <f t="shared" si="9"/>
        <v>1.1258062934438915</v>
      </c>
    </row>
    <row r="271" spans="1:7" x14ac:dyDescent="0.25">
      <c r="A271" t="str">
        <f t="shared" si="8"/>
        <v>PDV_42025/6</v>
      </c>
      <c r="B271" t="s">
        <v>36</v>
      </c>
      <c r="C271">
        <v>2025</v>
      </c>
      <c r="D271">
        <v>6</v>
      </c>
      <c r="E271">
        <v>21753.77058167458</v>
      </c>
      <c r="F271">
        <f>VLOOKUP(A271,[1]Planilha1!$A:$O,8,0)</f>
        <v>19534.509999999998</v>
      </c>
      <c r="G271" s="2">
        <f t="shared" si="9"/>
        <v>0.89798271645173589</v>
      </c>
    </row>
    <row r="272" spans="1:7" x14ac:dyDescent="0.25">
      <c r="A272" t="str">
        <f t="shared" si="8"/>
        <v>PDV_42025/7</v>
      </c>
      <c r="B272" t="s">
        <v>36</v>
      </c>
      <c r="C272">
        <v>2025</v>
      </c>
      <c r="D272">
        <v>7</v>
      </c>
      <c r="E272">
        <v>21616.327133855819</v>
      </c>
      <c r="F272">
        <f>VLOOKUP(A272,[1]Planilha1!$A:$O,8,0)</f>
        <v>20875.43</v>
      </c>
      <c r="G272" s="2">
        <f t="shared" si="9"/>
        <v>0.96572511466596866</v>
      </c>
    </row>
    <row r="273" spans="1:7" x14ac:dyDescent="0.25">
      <c r="A273" t="str">
        <f t="shared" si="8"/>
        <v>PDV_42025/8</v>
      </c>
      <c r="B273" t="s">
        <v>36</v>
      </c>
      <c r="C273">
        <v>2025</v>
      </c>
      <c r="D273">
        <v>8</v>
      </c>
      <c r="E273">
        <v>22121.3719376564</v>
      </c>
      <c r="F273">
        <f>VLOOKUP(A273,[1]Planilha1!$A:$O,8,0)</f>
        <v>20038.14</v>
      </c>
      <c r="G273" s="2">
        <f t="shared" si="9"/>
        <v>0.90582718180737287</v>
      </c>
    </row>
    <row r="274" spans="1:7" x14ac:dyDescent="0.25">
      <c r="A274" t="str">
        <f t="shared" si="8"/>
        <v>PDV_402025/1</v>
      </c>
      <c r="B274" t="s">
        <v>37</v>
      </c>
      <c r="C274">
        <v>2025</v>
      </c>
      <c r="D274">
        <v>1</v>
      </c>
      <c r="E274">
        <v>23347.729360119101</v>
      </c>
      <c r="F274">
        <f>VLOOKUP(A274,[1]Planilha1!$A:$O,8,0)</f>
        <v>11976.66</v>
      </c>
      <c r="G274" s="2">
        <f t="shared" si="9"/>
        <v>0.51296894080234035</v>
      </c>
    </row>
    <row r="275" spans="1:7" x14ac:dyDescent="0.25">
      <c r="A275" t="str">
        <f t="shared" si="8"/>
        <v>PDV_402025/2</v>
      </c>
      <c r="B275" t="s">
        <v>37</v>
      </c>
      <c r="C275">
        <v>2025</v>
      </c>
      <c r="D275">
        <v>2</v>
      </c>
      <c r="E275">
        <v>23312.5628508234</v>
      </c>
      <c r="F275">
        <f>VLOOKUP(A275,[1]Planilha1!$A:$O,8,0)</f>
        <v>22232.99</v>
      </c>
      <c r="G275" s="2">
        <f t="shared" si="9"/>
        <v>0.9536913698536037</v>
      </c>
    </row>
    <row r="276" spans="1:7" x14ac:dyDescent="0.25">
      <c r="A276" t="str">
        <f t="shared" si="8"/>
        <v>PDV_402025/3</v>
      </c>
      <c r="B276" t="s">
        <v>37</v>
      </c>
      <c r="C276">
        <v>2025</v>
      </c>
      <c r="D276">
        <v>3</v>
      </c>
      <c r="E276">
        <v>22723.21466534018</v>
      </c>
      <c r="F276">
        <f>VLOOKUP(A276,[1]Planilha1!$A:$O,8,0)</f>
        <v>15102.77</v>
      </c>
      <c r="G276" s="2">
        <f t="shared" si="9"/>
        <v>0.66464055471149175</v>
      </c>
    </row>
    <row r="277" spans="1:7" x14ac:dyDescent="0.25">
      <c r="A277" t="str">
        <f t="shared" si="8"/>
        <v>PDV_402025/4</v>
      </c>
      <c r="B277" t="s">
        <v>37</v>
      </c>
      <c r="C277">
        <v>2025</v>
      </c>
      <c r="D277">
        <v>4</v>
      </c>
      <c r="E277">
        <v>22179.947071175571</v>
      </c>
      <c r="F277">
        <f>VLOOKUP(A277,[1]Planilha1!$A:$O,8,0)</f>
        <v>26176.05</v>
      </c>
      <c r="G277" s="2">
        <f t="shared" si="9"/>
        <v>1.1801673789392244</v>
      </c>
    </row>
    <row r="278" spans="1:7" x14ac:dyDescent="0.25">
      <c r="A278" t="str">
        <f t="shared" si="8"/>
        <v>PDV_402025/5</v>
      </c>
      <c r="B278" t="s">
        <v>37</v>
      </c>
      <c r="C278">
        <v>2025</v>
      </c>
      <c r="D278">
        <v>5</v>
      </c>
      <c r="E278">
        <v>21710.973349915141</v>
      </c>
      <c r="F278">
        <f>VLOOKUP(A278,[1]Planilha1!$A:$O,8,0)</f>
        <v>18228.32</v>
      </c>
      <c r="G278" s="2">
        <f t="shared" si="9"/>
        <v>0.83959017894843702</v>
      </c>
    </row>
    <row r="279" spans="1:7" x14ac:dyDescent="0.25">
      <c r="A279" t="str">
        <f t="shared" si="8"/>
        <v>PDV_402025/6</v>
      </c>
      <c r="B279" t="s">
        <v>37</v>
      </c>
      <c r="C279">
        <v>2025</v>
      </c>
      <c r="D279">
        <v>6</v>
      </c>
      <c r="E279">
        <v>21222.71938974797</v>
      </c>
      <c r="F279">
        <f>VLOOKUP(A279,[1]Planilha1!$A:$O,8,0)</f>
        <v>23691.33</v>
      </c>
      <c r="G279" s="2">
        <f t="shared" si="9"/>
        <v>1.1163192409472529</v>
      </c>
    </row>
    <row r="280" spans="1:7" x14ac:dyDescent="0.25">
      <c r="A280" t="str">
        <f t="shared" si="8"/>
        <v>PDV_402025/7</v>
      </c>
      <c r="B280" t="s">
        <v>37</v>
      </c>
      <c r="C280">
        <v>2025</v>
      </c>
      <c r="D280">
        <v>7</v>
      </c>
      <c r="E280">
        <v>20765.74332271039</v>
      </c>
      <c r="F280">
        <f>VLOOKUP(A280,[1]Planilha1!$A:$O,8,0)</f>
        <v>33919.599999999999</v>
      </c>
      <c r="G280" s="2">
        <f t="shared" si="9"/>
        <v>1.6334402035540878</v>
      </c>
    </row>
    <row r="281" spans="1:7" x14ac:dyDescent="0.25">
      <c r="A281" t="str">
        <f t="shared" si="8"/>
        <v>PDV_402025/8</v>
      </c>
      <c r="B281" t="s">
        <v>37</v>
      </c>
      <c r="C281">
        <v>2025</v>
      </c>
      <c r="D281">
        <v>8</v>
      </c>
      <c r="E281">
        <v>21360.192255973219</v>
      </c>
      <c r="F281">
        <f>VLOOKUP(A281,[1]Planilha1!$A:$O,8,0)</f>
        <v>18261.43</v>
      </c>
      <c r="G281" s="2">
        <f t="shared" si="9"/>
        <v>0.85492816643039937</v>
      </c>
    </row>
    <row r="282" spans="1:7" x14ac:dyDescent="0.25">
      <c r="A282" t="str">
        <f t="shared" si="8"/>
        <v>PDV_412025/1</v>
      </c>
      <c r="B282" t="s">
        <v>38</v>
      </c>
      <c r="C282">
        <v>2025</v>
      </c>
      <c r="D282">
        <v>1</v>
      </c>
      <c r="E282">
        <v>22406.851073243019</v>
      </c>
      <c r="F282">
        <f>VLOOKUP(A282,[1]Planilha1!$A:$O,8,0)</f>
        <v>15821.01</v>
      </c>
      <c r="G282" s="2">
        <f t="shared" si="9"/>
        <v>0.7060791339347342</v>
      </c>
    </row>
    <row r="283" spans="1:7" x14ac:dyDescent="0.25">
      <c r="A283" t="str">
        <f t="shared" si="8"/>
        <v>PDV_412025/2</v>
      </c>
      <c r="B283" t="s">
        <v>38</v>
      </c>
      <c r="C283">
        <v>2025</v>
      </c>
      <c r="D283">
        <v>2</v>
      </c>
      <c r="E283">
        <v>21939.756648969051</v>
      </c>
      <c r="F283">
        <f>VLOOKUP(A283,[1]Planilha1!$A:$O,8,0)</f>
        <v>11512.5</v>
      </c>
      <c r="G283" s="2">
        <f t="shared" si="9"/>
        <v>0.52473234704455907</v>
      </c>
    </row>
    <row r="284" spans="1:7" x14ac:dyDescent="0.25">
      <c r="A284" t="str">
        <f t="shared" si="8"/>
        <v>PDV_412025/3</v>
      </c>
      <c r="B284" t="s">
        <v>38</v>
      </c>
      <c r="C284">
        <v>2025</v>
      </c>
      <c r="D284">
        <v>3</v>
      </c>
      <c r="E284">
        <v>21221.018872019649</v>
      </c>
      <c r="F284">
        <f>VLOOKUP(A284,[1]Planilha1!$A:$O,8,0)</f>
        <v>15842.22</v>
      </c>
      <c r="G284" s="2">
        <f t="shared" si="9"/>
        <v>0.74653437214969409</v>
      </c>
    </row>
    <row r="285" spans="1:7" x14ac:dyDescent="0.25">
      <c r="A285" t="str">
        <f t="shared" si="8"/>
        <v>PDV_412025/4</v>
      </c>
      <c r="B285" t="s">
        <v>38</v>
      </c>
      <c r="C285">
        <v>2025</v>
      </c>
      <c r="D285">
        <v>4</v>
      </c>
      <c r="E285">
        <v>20662.82934580624</v>
      </c>
      <c r="F285">
        <f>VLOOKUP(A285,[1]Planilha1!$A:$O,8,0)</f>
        <v>19763.810000000001</v>
      </c>
      <c r="G285" s="2">
        <f t="shared" si="9"/>
        <v>0.9564909852972916</v>
      </c>
    </row>
    <row r="286" spans="1:7" x14ac:dyDescent="0.25">
      <c r="A286" t="str">
        <f t="shared" si="8"/>
        <v>PDV_412025/5</v>
      </c>
      <c r="B286" t="s">
        <v>38</v>
      </c>
      <c r="C286">
        <v>2025</v>
      </c>
      <c r="D286">
        <v>5</v>
      </c>
      <c r="E286">
        <v>20760.356114441161</v>
      </c>
      <c r="F286">
        <f>VLOOKUP(A286,[1]Planilha1!$A:$O,8,0)</f>
        <v>23888.36</v>
      </c>
      <c r="G286" s="2">
        <f t="shared" si="9"/>
        <v>1.1506719763531879</v>
      </c>
    </row>
    <row r="287" spans="1:7" x14ac:dyDescent="0.25">
      <c r="A287" t="str">
        <f t="shared" si="8"/>
        <v>PDV_412025/6</v>
      </c>
      <c r="B287" t="s">
        <v>38</v>
      </c>
      <c r="C287">
        <v>2025</v>
      </c>
      <c r="D287">
        <v>6</v>
      </c>
      <c r="E287">
        <v>20897.911254367831</v>
      </c>
      <c r="F287">
        <f>VLOOKUP(A287,[1]Planilha1!$A:$O,8,0)</f>
        <v>31537.16</v>
      </c>
      <c r="G287" s="2">
        <f t="shared" si="9"/>
        <v>1.5091058439349283</v>
      </c>
    </row>
    <row r="288" spans="1:7" x14ac:dyDescent="0.25">
      <c r="A288" t="str">
        <f t="shared" si="8"/>
        <v>PDV_412025/7</v>
      </c>
      <c r="B288" t="s">
        <v>38</v>
      </c>
      <c r="C288">
        <v>2025</v>
      </c>
      <c r="D288">
        <v>7</v>
      </c>
      <c r="E288">
        <v>20587.80625129223</v>
      </c>
      <c r="F288">
        <f>VLOOKUP(A288,[1]Planilha1!$A:$O,8,0)</f>
        <v>12835.14</v>
      </c>
      <c r="G288" s="2">
        <f t="shared" si="9"/>
        <v>0.62343407759602265</v>
      </c>
    </row>
    <row r="289" spans="1:7" x14ac:dyDescent="0.25">
      <c r="A289" t="str">
        <f t="shared" si="8"/>
        <v>PDV_412025/8</v>
      </c>
      <c r="B289" t="s">
        <v>38</v>
      </c>
      <c r="C289">
        <v>2025</v>
      </c>
      <c r="D289">
        <v>8</v>
      </c>
      <c r="E289">
        <v>20874.79838777304</v>
      </c>
      <c r="F289">
        <f>VLOOKUP(A289,[1]Planilha1!$A:$O,8,0)</f>
        <v>17982.990000000002</v>
      </c>
      <c r="G289" s="2">
        <f t="shared" si="9"/>
        <v>0.86146891893016542</v>
      </c>
    </row>
    <row r="290" spans="1:7" x14ac:dyDescent="0.25">
      <c r="A290" t="str">
        <f t="shared" si="8"/>
        <v>PDV_422025/1</v>
      </c>
      <c r="B290" t="s">
        <v>39</v>
      </c>
      <c r="C290">
        <v>2025</v>
      </c>
      <c r="D290">
        <v>1</v>
      </c>
      <c r="E290">
        <v>22927.785739155421</v>
      </c>
      <c r="F290">
        <f>VLOOKUP(A290,[1]Planilha1!$A:$O,8,0)</f>
        <v>26549.58</v>
      </c>
      <c r="G290" s="2">
        <f t="shared" si="9"/>
        <v>1.1579652872740949</v>
      </c>
    </row>
    <row r="291" spans="1:7" x14ac:dyDescent="0.25">
      <c r="A291" t="str">
        <f t="shared" si="8"/>
        <v>PDV_422025/2</v>
      </c>
      <c r="B291" t="s">
        <v>39</v>
      </c>
      <c r="C291">
        <v>2025</v>
      </c>
      <c r="D291">
        <v>2</v>
      </c>
      <c r="E291">
        <v>23147.166553819781</v>
      </c>
      <c r="F291">
        <f>VLOOKUP(A291,[1]Planilha1!$A:$O,8,0)</f>
        <v>14439.94</v>
      </c>
      <c r="G291" s="2">
        <f t="shared" si="9"/>
        <v>0.62383186151209935</v>
      </c>
    </row>
    <row r="292" spans="1:7" x14ac:dyDescent="0.25">
      <c r="A292" t="str">
        <f t="shared" si="8"/>
        <v>PDV_422025/3</v>
      </c>
      <c r="B292" t="s">
        <v>39</v>
      </c>
      <c r="C292">
        <v>2025</v>
      </c>
      <c r="D292">
        <v>3</v>
      </c>
      <c r="E292">
        <v>24060.667173188329</v>
      </c>
      <c r="F292">
        <f>VLOOKUP(A292,[1]Planilha1!$A:$O,8,0)</f>
        <v>20735.11</v>
      </c>
      <c r="G292" s="2">
        <f t="shared" si="9"/>
        <v>0.86178449877341234</v>
      </c>
    </row>
    <row r="293" spans="1:7" x14ac:dyDescent="0.25">
      <c r="A293" t="str">
        <f t="shared" si="8"/>
        <v>PDV_422025/4</v>
      </c>
      <c r="B293" t="s">
        <v>39</v>
      </c>
      <c r="C293">
        <v>2025</v>
      </c>
      <c r="D293">
        <v>4</v>
      </c>
      <c r="E293">
        <v>24441.318137767321</v>
      </c>
      <c r="F293">
        <f>VLOOKUP(A293,[1]Planilha1!$A:$O,8,0)</f>
        <v>27797.8</v>
      </c>
      <c r="G293" s="2">
        <f t="shared" si="9"/>
        <v>1.1373281851376977</v>
      </c>
    </row>
    <row r="294" spans="1:7" x14ac:dyDescent="0.25">
      <c r="A294" t="str">
        <f t="shared" si="8"/>
        <v>PDV_422025/5</v>
      </c>
      <c r="B294" t="s">
        <v>39</v>
      </c>
      <c r="C294">
        <v>2025</v>
      </c>
      <c r="D294">
        <v>5</v>
      </c>
      <c r="E294">
        <v>24818.666183207039</v>
      </c>
      <c r="F294">
        <f>VLOOKUP(A294,[1]Planilha1!$A:$O,8,0)</f>
        <v>15862.18</v>
      </c>
      <c r="G294" s="2">
        <f t="shared" si="9"/>
        <v>0.63912298440650162</v>
      </c>
    </row>
    <row r="295" spans="1:7" x14ac:dyDescent="0.25">
      <c r="A295" t="str">
        <f t="shared" si="8"/>
        <v>PDV_422025/6</v>
      </c>
      <c r="B295" t="s">
        <v>39</v>
      </c>
      <c r="C295">
        <v>2025</v>
      </c>
      <c r="D295">
        <v>6</v>
      </c>
      <c r="E295">
        <v>24989.723902712471</v>
      </c>
      <c r="F295">
        <f>VLOOKUP(A295,[1]Planilha1!$A:$O,8,0)</f>
        <v>15879.78</v>
      </c>
      <c r="G295" s="2">
        <f t="shared" si="9"/>
        <v>0.63545239882687754</v>
      </c>
    </row>
    <row r="296" spans="1:7" x14ac:dyDescent="0.25">
      <c r="A296" t="str">
        <f t="shared" si="8"/>
        <v>PDV_422025/7</v>
      </c>
      <c r="B296" t="s">
        <v>39</v>
      </c>
      <c r="C296">
        <v>2025</v>
      </c>
      <c r="D296">
        <v>7</v>
      </c>
      <c r="E296">
        <v>24574.953056297902</v>
      </c>
      <c r="F296">
        <f>VLOOKUP(A296,[1]Planilha1!$A:$O,8,0)</f>
        <v>25220.63</v>
      </c>
      <c r="G296" s="2">
        <f t="shared" si="9"/>
        <v>1.0262737813668632</v>
      </c>
    </row>
    <row r="297" spans="1:7" x14ac:dyDescent="0.25">
      <c r="A297" t="str">
        <f t="shared" si="8"/>
        <v>PDV_422025/8</v>
      </c>
      <c r="B297" t="s">
        <v>39</v>
      </c>
      <c r="C297">
        <v>2025</v>
      </c>
      <c r="D297">
        <v>8</v>
      </c>
      <c r="E297">
        <v>24959.865425556902</v>
      </c>
      <c r="F297">
        <f>VLOOKUP(A297,[1]Planilha1!$A:$O,8,0)</f>
        <v>11177.2</v>
      </c>
      <c r="G297" s="2">
        <f t="shared" si="9"/>
        <v>0.44780690157709918</v>
      </c>
    </row>
    <row r="298" spans="1:7" x14ac:dyDescent="0.25">
      <c r="A298" t="str">
        <f t="shared" si="8"/>
        <v>PDV_432025/1</v>
      </c>
      <c r="B298" t="s">
        <v>40</v>
      </c>
      <c r="C298">
        <v>2025</v>
      </c>
      <c r="D298">
        <v>1</v>
      </c>
      <c r="E298">
        <v>22186.53390804529</v>
      </c>
      <c r="F298">
        <f>VLOOKUP(A298,[1]Planilha1!$A:$O,8,0)</f>
        <v>19001.75</v>
      </c>
      <c r="G298" s="2">
        <f t="shared" si="9"/>
        <v>0.85645419328476435</v>
      </c>
    </row>
    <row r="299" spans="1:7" x14ac:dyDescent="0.25">
      <c r="A299" t="str">
        <f t="shared" si="8"/>
        <v>PDV_432025/2</v>
      </c>
      <c r="B299" t="s">
        <v>40</v>
      </c>
      <c r="C299">
        <v>2025</v>
      </c>
      <c r="D299">
        <v>2</v>
      </c>
      <c r="E299">
        <v>22279.89868354678</v>
      </c>
      <c r="F299">
        <f>VLOOKUP(A299,[1]Planilha1!$A:$O,8,0)</f>
        <v>10606.99</v>
      </c>
      <c r="G299" s="2">
        <f t="shared" si="9"/>
        <v>0.47607891537823871</v>
      </c>
    </row>
    <row r="300" spans="1:7" x14ac:dyDescent="0.25">
      <c r="A300" t="str">
        <f t="shared" si="8"/>
        <v>PDV_432025/3</v>
      </c>
      <c r="B300" t="s">
        <v>40</v>
      </c>
      <c r="C300">
        <v>2025</v>
      </c>
      <c r="D300">
        <v>3</v>
      </c>
      <c r="E300">
        <v>21689.880808093549</v>
      </c>
      <c r="F300">
        <f>VLOOKUP(A300,[1]Planilha1!$A:$O,8,0)</f>
        <v>15527.63</v>
      </c>
      <c r="G300" s="2">
        <f t="shared" si="9"/>
        <v>0.71589282289674394</v>
      </c>
    </row>
    <row r="301" spans="1:7" x14ac:dyDescent="0.25">
      <c r="A301" t="str">
        <f t="shared" si="8"/>
        <v>PDV_432025/4</v>
      </c>
      <c r="B301" t="s">
        <v>40</v>
      </c>
      <c r="C301">
        <v>2025</v>
      </c>
      <c r="D301">
        <v>4</v>
      </c>
      <c r="E301">
        <v>21672.9518832022</v>
      </c>
      <c r="F301">
        <f>VLOOKUP(A301,[1]Planilha1!$A:$O,8,0)</f>
        <v>16421.5</v>
      </c>
      <c r="G301" s="2">
        <f t="shared" si="9"/>
        <v>0.75769558703849749</v>
      </c>
    </row>
    <row r="302" spans="1:7" x14ac:dyDescent="0.25">
      <c r="A302" t="str">
        <f t="shared" si="8"/>
        <v>PDV_432025/5</v>
      </c>
      <c r="B302" t="s">
        <v>40</v>
      </c>
      <c r="C302">
        <v>2025</v>
      </c>
      <c r="D302">
        <v>5</v>
      </c>
      <c r="E302">
        <v>21359.96786984563</v>
      </c>
      <c r="F302">
        <f>VLOOKUP(A302,[1]Planilha1!$A:$O,8,0)</f>
        <v>28588.880000000001</v>
      </c>
      <c r="G302" s="2">
        <f t="shared" si="9"/>
        <v>1.3384327249087109</v>
      </c>
    </row>
    <row r="303" spans="1:7" x14ac:dyDescent="0.25">
      <c r="A303" t="str">
        <f t="shared" si="8"/>
        <v>PDV_432025/6</v>
      </c>
      <c r="B303" t="s">
        <v>40</v>
      </c>
      <c r="C303">
        <v>2025</v>
      </c>
      <c r="D303">
        <v>6</v>
      </c>
      <c r="E303">
        <v>20400.496123382451</v>
      </c>
      <c r="F303">
        <f>VLOOKUP(A303,[1]Planilha1!$A:$O,8,0)</f>
        <v>19502.439999999999</v>
      </c>
      <c r="G303" s="2">
        <f t="shared" si="9"/>
        <v>0.95597871159843384</v>
      </c>
    </row>
    <row r="304" spans="1:7" x14ac:dyDescent="0.25">
      <c r="A304" t="str">
        <f t="shared" si="8"/>
        <v>PDV_432025/7</v>
      </c>
      <c r="B304" t="s">
        <v>40</v>
      </c>
      <c r="C304">
        <v>2025</v>
      </c>
      <c r="D304">
        <v>7</v>
      </c>
      <c r="E304">
        <v>20023.508630120759</v>
      </c>
      <c r="F304">
        <f>VLOOKUP(A304,[1]Planilha1!$A:$O,8,0)</f>
        <v>28099.64</v>
      </c>
      <c r="G304" s="2">
        <f t="shared" si="9"/>
        <v>1.4033324787909827</v>
      </c>
    </row>
    <row r="305" spans="1:7" x14ac:dyDescent="0.25">
      <c r="A305" t="str">
        <f t="shared" si="8"/>
        <v>PDV_432025/8</v>
      </c>
      <c r="B305" t="s">
        <v>40</v>
      </c>
      <c r="C305">
        <v>2025</v>
      </c>
      <c r="D305">
        <v>8</v>
      </c>
      <c r="E305">
        <v>20553.527142553328</v>
      </c>
      <c r="F305">
        <f>VLOOKUP(A305,[1]Planilha1!$A:$O,8,0)</f>
        <v>14706.92</v>
      </c>
      <c r="G305" s="2">
        <f t="shared" si="9"/>
        <v>0.71554239318619384</v>
      </c>
    </row>
    <row r="306" spans="1:7" x14ac:dyDescent="0.25">
      <c r="A306" t="str">
        <f t="shared" si="8"/>
        <v>PDV_442025/1</v>
      </c>
      <c r="B306" t="s">
        <v>41</v>
      </c>
      <c r="C306">
        <v>2025</v>
      </c>
      <c r="D306">
        <v>1</v>
      </c>
      <c r="E306">
        <v>21615.66294672609</v>
      </c>
      <c r="F306">
        <f>VLOOKUP(A306,[1]Planilha1!$A:$O,8,0)</f>
        <v>14273.64</v>
      </c>
      <c r="G306" s="2">
        <f t="shared" si="9"/>
        <v>0.66033783165377702</v>
      </c>
    </row>
    <row r="307" spans="1:7" x14ac:dyDescent="0.25">
      <c r="A307" t="str">
        <f t="shared" si="8"/>
        <v>PDV_442025/2</v>
      </c>
      <c r="B307" t="s">
        <v>41</v>
      </c>
      <c r="C307">
        <v>2025</v>
      </c>
      <c r="D307">
        <v>2</v>
      </c>
      <c r="E307">
        <v>22858.87589741468</v>
      </c>
      <c r="F307">
        <f>VLOOKUP(A307,[1]Planilha1!$A:$O,8,0)</f>
        <v>16976.16</v>
      </c>
      <c r="G307" s="2">
        <f t="shared" si="9"/>
        <v>0.74265069184438726</v>
      </c>
    </row>
    <row r="308" spans="1:7" x14ac:dyDescent="0.25">
      <c r="A308" t="str">
        <f t="shared" si="8"/>
        <v>PDV_442025/3</v>
      </c>
      <c r="B308" t="s">
        <v>41</v>
      </c>
      <c r="C308">
        <v>2025</v>
      </c>
      <c r="D308">
        <v>3</v>
      </c>
      <c r="E308">
        <v>23318.251217623951</v>
      </c>
      <c r="F308">
        <f>VLOOKUP(A308,[1]Planilha1!$A:$O,8,0)</f>
        <v>7096.18</v>
      </c>
      <c r="G308" s="2">
        <f t="shared" si="9"/>
        <v>0.3043187044248285</v>
      </c>
    </row>
    <row r="309" spans="1:7" x14ac:dyDescent="0.25">
      <c r="A309" t="str">
        <f t="shared" si="8"/>
        <v>PDV_442025/4</v>
      </c>
      <c r="B309" t="s">
        <v>41</v>
      </c>
      <c r="C309">
        <v>2025</v>
      </c>
      <c r="D309">
        <v>4</v>
      </c>
      <c r="E309">
        <v>23544.106341375111</v>
      </c>
      <c r="F309">
        <f>VLOOKUP(A309,[1]Planilha1!$A:$O,8,0)</f>
        <v>30338.23</v>
      </c>
      <c r="G309" s="2">
        <f t="shared" si="9"/>
        <v>1.288570037873354</v>
      </c>
    </row>
    <row r="310" spans="1:7" x14ac:dyDescent="0.25">
      <c r="A310" t="str">
        <f t="shared" si="8"/>
        <v>PDV_442025/5</v>
      </c>
      <c r="B310" t="s">
        <v>41</v>
      </c>
      <c r="C310">
        <v>2025</v>
      </c>
      <c r="D310">
        <v>5</v>
      </c>
      <c r="E310">
        <v>23564.523988560439</v>
      </c>
      <c r="F310">
        <f>VLOOKUP(A310,[1]Planilha1!$A:$O,8,0)</f>
        <v>24787.89</v>
      </c>
      <c r="G310" s="2">
        <f t="shared" si="9"/>
        <v>1.0519155834437162</v>
      </c>
    </row>
    <row r="311" spans="1:7" x14ac:dyDescent="0.25">
      <c r="A311" t="str">
        <f t="shared" si="8"/>
        <v>PDV_442025/6</v>
      </c>
      <c r="B311" t="s">
        <v>41</v>
      </c>
      <c r="C311">
        <v>2025</v>
      </c>
      <c r="D311">
        <v>6</v>
      </c>
      <c r="E311">
        <v>23904.961440907718</v>
      </c>
      <c r="F311">
        <f>VLOOKUP(A311,[1]Planilha1!$A:$O,8,0)</f>
        <v>18533.05</v>
      </c>
      <c r="G311" s="2">
        <f t="shared" si="9"/>
        <v>0.77528048082458079</v>
      </c>
    </row>
    <row r="312" spans="1:7" x14ac:dyDescent="0.25">
      <c r="A312" t="str">
        <f t="shared" si="8"/>
        <v>PDV_442025/7</v>
      </c>
      <c r="B312" t="s">
        <v>41</v>
      </c>
      <c r="C312">
        <v>2025</v>
      </c>
      <c r="D312">
        <v>7</v>
      </c>
      <c r="E312">
        <v>23503.75177485466</v>
      </c>
      <c r="F312">
        <f>VLOOKUP(A312,[1]Planilha1!$A:$O,8,0)</f>
        <v>30039.17</v>
      </c>
      <c r="G312" s="2">
        <f t="shared" si="9"/>
        <v>1.2780585111580873</v>
      </c>
    </row>
    <row r="313" spans="1:7" x14ac:dyDescent="0.25">
      <c r="A313" t="str">
        <f t="shared" si="8"/>
        <v>PDV_442025/8</v>
      </c>
      <c r="B313" t="s">
        <v>41</v>
      </c>
      <c r="C313">
        <v>2025</v>
      </c>
      <c r="D313">
        <v>8</v>
      </c>
      <c r="E313">
        <v>23610.934759706259</v>
      </c>
      <c r="F313">
        <f>VLOOKUP(A313,[1]Planilha1!$A:$O,8,0)</f>
        <v>18116.8</v>
      </c>
      <c r="G313" s="2">
        <f t="shared" si="9"/>
        <v>0.76730549571114859</v>
      </c>
    </row>
    <row r="314" spans="1:7" x14ac:dyDescent="0.25">
      <c r="A314" t="str">
        <f t="shared" si="8"/>
        <v>PDV_452025/1</v>
      </c>
      <c r="B314" t="s">
        <v>42</v>
      </c>
      <c r="C314">
        <v>2025</v>
      </c>
      <c r="D314">
        <v>1</v>
      </c>
      <c r="E314">
        <v>20087.544264343978</v>
      </c>
      <c r="F314">
        <f>VLOOKUP(A314,[1]Planilha1!$A:$O,8,0)</f>
        <v>28246.61</v>
      </c>
      <c r="G314" s="2">
        <f t="shared" si="9"/>
        <v>1.406175370582188</v>
      </c>
    </row>
    <row r="315" spans="1:7" x14ac:dyDescent="0.25">
      <c r="A315" t="str">
        <f t="shared" si="8"/>
        <v>PDV_452025/2</v>
      </c>
      <c r="B315" t="s">
        <v>42</v>
      </c>
      <c r="C315">
        <v>2025</v>
      </c>
      <c r="D315">
        <v>2</v>
      </c>
      <c r="E315">
        <v>21159.16350199193</v>
      </c>
      <c r="F315">
        <f>VLOOKUP(A315,[1]Planilha1!$A:$O,8,0)</f>
        <v>37405.769999999997</v>
      </c>
      <c r="G315" s="2">
        <f t="shared" si="9"/>
        <v>1.7678283924824629</v>
      </c>
    </row>
    <row r="316" spans="1:7" x14ac:dyDescent="0.25">
      <c r="A316" t="str">
        <f t="shared" si="8"/>
        <v>PDV_452025/3</v>
      </c>
      <c r="B316" t="s">
        <v>42</v>
      </c>
      <c r="C316">
        <v>2025</v>
      </c>
      <c r="D316">
        <v>3</v>
      </c>
      <c r="E316">
        <v>21306.727204254861</v>
      </c>
      <c r="F316">
        <f>VLOOKUP(A316,[1]Planilha1!$A:$O,8,0)</f>
        <v>16657.830000000002</v>
      </c>
      <c r="G316" s="2">
        <f t="shared" si="9"/>
        <v>0.78181082623864939</v>
      </c>
    </row>
    <row r="317" spans="1:7" x14ac:dyDescent="0.25">
      <c r="A317" t="str">
        <f t="shared" si="8"/>
        <v>PDV_452025/4</v>
      </c>
      <c r="B317" t="s">
        <v>42</v>
      </c>
      <c r="C317">
        <v>2025</v>
      </c>
      <c r="D317">
        <v>4</v>
      </c>
      <c r="E317">
        <v>21167.858529465499</v>
      </c>
      <c r="F317">
        <f>VLOOKUP(A317,[1]Planilha1!$A:$O,8,0)</f>
        <v>29872.77</v>
      </c>
      <c r="G317" s="2">
        <f t="shared" si="9"/>
        <v>1.4112325041485576</v>
      </c>
    </row>
    <row r="318" spans="1:7" x14ac:dyDescent="0.25">
      <c r="A318" t="str">
        <f t="shared" si="8"/>
        <v>PDV_452025/5</v>
      </c>
      <c r="B318" t="s">
        <v>42</v>
      </c>
      <c r="C318">
        <v>2025</v>
      </c>
      <c r="D318">
        <v>5</v>
      </c>
      <c r="E318">
        <v>20870.650900799628</v>
      </c>
      <c r="F318">
        <f>VLOOKUP(A318,[1]Planilha1!$A:$O,8,0)</f>
        <v>23671.45</v>
      </c>
      <c r="G318" s="2">
        <f t="shared" si="9"/>
        <v>1.1341979755453178</v>
      </c>
    </row>
    <row r="319" spans="1:7" x14ac:dyDescent="0.25">
      <c r="A319" t="str">
        <f t="shared" si="8"/>
        <v>PDV_452025/6</v>
      </c>
      <c r="B319" t="s">
        <v>42</v>
      </c>
      <c r="C319">
        <v>2025</v>
      </c>
      <c r="D319">
        <v>6</v>
      </c>
      <c r="E319">
        <v>20686.98356537283</v>
      </c>
      <c r="F319">
        <f>VLOOKUP(A319,[1]Planilha1!$A:$O,8,0)</f>
        <v>21648.07</v>
      </c>
      <c r="G319" s="2">
        <f t="shared" si="9"/>
        <v>1.0464585100863084</v>
      </c>
    </row>
    <row r="320" spans="1:7" x14ac:dyDescent="0.25">
      <c r="A320" t="str">
        <f t="shared" si="8"/>
        <v>PDV_452025/7</v>
      </c>
      <c r="B320" t="s">
        <v>42</v>
      </c>
      <c r="C320">
        <v>2025</v>
      </c>
      <c r="D320">
        <v>7</v>
      </c>
      <c r="E320">
        <v>20137.099732311672</v>
      </c>
      <c r="F320">
        <f>VLOOKUP(A320,[1]Planilha1!$A:$O,8,0)</f>
        <v>12942.24</v>
      </c>
      <c r="G320" s="2">
        <f t="shared" si="9"/>
        <v>0.64270625720907992</v>
      </c>
    </row>
    <row r="321" spans="1:7" x14ac:dyDescent="0.25">
      <c r="A321" t="str">
        <f t="shared" si="8"/>
        <v>PDV_452025/8</v>
      </c>
      <c r="B321" t="s">
        <v>42</v>
      </c>
      <c r="C321">
        <v>2025</v>
      </c>
      <c r="D321">
        <v>8</v>
      </c>
      <c r="E321">
        <v>20420.928664547799</v>
      </c>
      <c r="F321">
        <f>VLOOKUP(A321,[1]Planilha1!$A:$O,8,0)</f>
        <v>16911.8</v>
      </c>
      <c r="G321" s="2">
        <f t="shared" si="9"/>
        <v>0.82816018202737762</v>
      </c>
    </row>
    <row r="322" spans="1:7" x14ac:dyDescent="0.25">
      <c r="A322" t="str">
        <f t="shared" si="8"/>
        <v>PDV_462025/1</v>
      </c>
      <c r="B322" t="s">
        <v>43</v>
      </c>
      <c r="C322">
        <v>2025</v>
      </c>
      <c r="D322">
        <v>1</v>
      </c>
      <c r="E322">
        <v>24059.394701797959</v>
      </c>
      <c r="F322">
        <f>VLOOKUP(A322,[1]Planilha1!$A:$O,8,0)</f>
        <v>12868.73</v>
      </c>
      <c r="G322" s="2">
        <f t="shared" si="9"/>
        <v>0.53487338977145249</v>
      </c>
    </row>
    <row r="323" spans="1:7" x14ac:dyDescent="0.25">
      <c r="A323" t="str">
        <f t="shared" ref="A323:A386" si="10">B323&amp;C323&amp;"/"&amp;D323</f>
        <v>PDV_462025/2</v>
      </c>
      <c r="B323" t="s">
        <v>43</v>
      </c>
      <c r="C323">
        <v>2025</v>
      </c>
      <c r="D323">
        <v>2</v>
      </c>
      <c r="E323">
        <v>22963.55069437503</v>
      </c>
      <c r="F323">
        <f>VLOOKUP(A323,[1]Planilha1!$A:$O,8,0)</f>
        <v>21557.87</v>
      </c>
      <c r="G323" s="2">
        <f t="shared" ref="G323:G386" si="11">F323/E323</f>
        <v>0.93878643973297404</v>
      </c>
    </row>
    <row r="324" spans="1:7" x14ac:dyDescent="0.25">
      <c r="A324" t="str">
        <f t="shared" si="10"/>
        <v>PDV_462025/3</v>
      </c>
      <c r="B324" t="s">
        <v>43</v>
      </c>
      <c r="C324">
        <v>2025</v>
      </c>
      <c r="D324">
        <v>3</v>
      </c>
      <c r="E324">
        <v>21060.084544035191</v>
      </c>
      <c r="F324">
        <f>VLOOKUP(A324,[1]Planilha1!$A:$O,8,0)</f>
        <v>19849.060000000001</v>
      </c>
      <c r="G324" s="2">
        <f t="shared" si="11"/>
        <v>0.94249669124057789</v>
      </c>
    </row>
    <row r="325" spans="1:7" x14ac:dyDescent="0.25">
      <c r="A325" t="str">
        <f t="shared" si="10"/>
        <v>PDV_462025/4</v>
      </c>
      <c r="B325" t="s">
        <v>43</v>
      </c>
      <c r="C325">
        <v>2025</v>
      </c>
      <c r="D325">
        <v>4</v>
      </c>
      <c r="E325">
        <v>19437.527485038041</v>
      </c>
      <c r="F325">
        <f>VLOOKUP(A325,[1]Planilha1!$A:$O,8,0)</f>
        <v>17886.52</v>
      </c>
      <c r="G325" s="2">
        <f t="shared" si="11"/>
        <v>0.92020551553010421</v>
      </c>
    </row>
    <row r="326" spans="1:7" x14ac:dyDescent="0.25">
      <c r="A326" t="str">
        <f t="shared" si="10"/>
        <v>PDV_462025/5</v>
      </c>
      <c r="B326" t="s">
        <v>43</v>
      </c>
      <c r="C326">
        <v>2025</v>
      </c>
      <c r="D326">
        <v>5</v>
      </c>
      <c r="E326">
        <v>18557.76959783673</v>
      </c>
      <c r="F326">
        <f>VLOOKUP(A326,[1]Planilha1!$A:$O,8,0)</f>
        <v>28323.75</v>
      </c>
      <c r="G326" s="2">
        <f t="shared" si="11"/>
        <v>1.5262475294068574</v>
      </c>
    </row>
    <row r="327" spans="1:7" x14ac:dyDescent="0.25">
      <c r="A327" t="str">
        <f t="shared" si="10"/>
        <v>PDV_462025/6</v>
      </c>
      <c r="B327" t="s">
        <v>43</v>
      </c>
      <c r="C327">
        <v>2025</v>
      </c>
      <c r="D327">
        <v>6</v>
      </c>
      <c r="E327">
        <v>17749.977945649622</v>
      </c>
      <c r="F327">
        <f>VLOOKUP(A327,[1]Planilha1!$A:$O,8,0)</f>
        <v>19871.53</v>
      </c>
      <c r="G327" s="2">
        <f t="shared" si="11"/>
        <v>1.1195242079086838</v>
      </c>
    </row>
    <row r="328" spans="1:7" x14ac:dyDescent="0.25">
      <c r="A328" t="str">
        <f t="shared" si="10"/>
        <v>PDV_462025/7</v>
      </c>
      <c r="B328" t="s">
        <v>43</v>
      </c>
      <c r="C328">
        <v>2025</v>
      </c>
      <c r="D328">
        <v>7</v>
      </c>
      <c r="E328">
        <v>16240.136195238831</v>
      </c>
      <c r="F328">
        <f>VLOOKUP(A328,[1]Planilha1!$A:$O,8,0)</f>
        <v>29842.68</v>
      </c>
      <c r="G328" s="2">
        <f t="shared" si="11"/>
        <v>1.8375880375159088</v>
      </c>
    </row>
    <row r="329" spans="1:7" x14ac:dyDescent="0.25">
      <c r="A329" t="str">
        <f t="shared" si="10"/>
        <v>PDV_462025/8</v>
      </c>
      <c r="B329" t="s">
        <v>43</v>
      </c>
      <c r="C329">
        <v>2025</v>
      </c>
      <c r="D329">
        <v>8</v>
      </c>
      <c r="E329">
        <v>17188.636060138939</v>
      </c>
      <c r="F329">
        <f>VLOOKUP(A329,[1]Planilha1!$A:$O,8,0)</f>
        <v>17194.310000000001</v>
      </c>
      <c r="G329" s="2">
        <f t="shared" si="11"/>
        <v>1.0003300983185175</v>
      </c>
    </row>
    <row r="330" spans="1:7" x14ac:dyDescent="0.25">
      <c r="A330" t="str">
        <f t="shared" si="10"/>
        <v>PDV_472025/1</v>
      </c>
      <c r="B330" t="s">
        <v>44</v>
      </c>
      <c r="C330">
        <v>2025</v>
      </c>
      <c r="D330">
        <v>1</v>
      </c>
      <c r="E330">
        <v>26266.21121565819</v>
      </c>
      <c r="F330">
        <f>VLOOKUP(A330,[1]Planilha1!$A:$O,8,0)</f>
        <v>12198.88</v>
      </c>
      <c r="G330" s="2">
        <f t="shared" si="11"/>
        <v>0.46443241851066164</v>
      </c>
    </row>
    <row r="331" spans="1:7" x14ac:dyDescent="0.25">
      <c r="A331" t="str">
        <f t="shared" si="10"/>
        <v>PDV_472025/2</v>
      </c>
      <c r="B331" t="s">
        <v>44</v>
      </c>
      <c r="C331">
        <v>2025</v>
      </c>
      <c r="D331">
        <v>2</v>
      </c>
      <c r="E331">
        <v>26876.098643565179</v>
      </c>
      <c r="F331">
        <f>VLOOKUP(A331,[1]Planilha1!$A:$O,8,0)</f>
        <v>26086.04</v>
      </c>
      <c r="G331" s="2">
        <f t="shared" si="11"/>
        <v>0.97060367079154408</v>
      </c>
    </row>
    <row r="332" spans="1:7" x14ac:dyDescent="0.25">
      <c r="A332" t="str">
        <f t="shared" si="10"/>
        <v>PDV_472025/3</v>
      </c>
      <c r="B332" t="s">
        <v>44</v>
      </c>
      <c r="C332">
        <v>2025</v>
      </c>
      <c r="D332">
        <v>3</v>
      </c>
      <c r="E332">
        <v>27252.01548246622</v>
      </c>
      <c r="F332">
        <f>VLOOKUP(A332,[1]Planilha1!$A:$O,8,0)</f>
        <v>11362.02</v>
      </c>
      <c r="G332" s="2">
        <f t="shared" si="11"/>
        <v>0.41692402557565894</v>
      </c>
    </row>
    <row r="333" spans="1:7" x14ac:dyDescent="0.25">
      <c r="A333" t="str">
        <f t="shared" si="10"/>
        <v>PDV_472025/4</v>
      </c>
      <c r="B333" t="s">
        <v>44</v>
      </c>
      <c r="C333">
        <v>2025</v>
      </c>
      <c r="D333">
        <v>4</v>
      </c>
      <c r="E333">
        <v>27184.937003221508</v>
      </c>
      <c r="F333">
        <f>VLOOKUP(A333,[1]Planilha1!$A:$O,8,0)</f>
        <v>26381.919999999998</v>
      </c>
      <c r="G333" s="2">
        <f t="shared" si="11"/>
        <v>0.97046095773088048</v>
      </c>
    </row>
    <row r="334" spans="1:7" x14ac:dyDescent="0.25">
      <c r="A334" t="str">
        <f t="shared" si="10"/>
        <v>PDV_472025/5</v>
      </c>
      <c r="B334" t="s">
        <v>44</v>
      </c>
      <c r="C334">
        <v>2025</v>
      </c>
      <c r="D334">
        <v>5</v>
      </c>
      <c r="E334">
        <v>26891.276691753861</v>
      </c>
      <c r="F334">
        <f>VLOOKUP(A334,[1]Planilha1!$A:$O,8,0)</f>
        <v>22184.86</v>
      </c>
      <c r="G334" s="2">
        <f t="shared" si="11"/>
        <v>0.82498351618995203</v>
      </c>
    </row>
    <row r="335" spans="1:7" x14ac:dyDescent="0.25">
      <c r="A335" t="str">
        <f t="shared" si="10"/>
        <v>PDV_472025/6</v>
      </c>
      <c r="B335" t="s">
        <v>44</v>
      </c>
      <c r="C335">
        <v>2025</v>
      </c>
      <c r="D335">
        <v>6</v>
      </c>
      <c r="E335">
        <v>26329.944526345731</v>
      </c>
      <c r="F335">
        <f>VLOOKUP(A335,[1]Planilha1!$A:$O,8,0)</f>
        <v>18349.41</v>
      </c>
      <c r="G335" s="2">
        <f t="shared" si="11"/>
        <v>0.69690272160047995</v>
      </c>
    </row>
    <row r="336" spans="1:7" x14ac:dyDescent="0.25">
      <c r="A336" t="str">
        <f t="shared" si="10"/>
        <v>PDV_472025/7</v>
      </c>
      <c r="B336" t="s">
        <v>44</v>
      </c>
      <c r="C336">
        <v>2025</v>
      </c>
      <c r="D336">
        <v>7</v>
      </c>
      <c r="E336">
        <v>25559.839223897459</v>
      </c>
      <c r="F336">
        <f>VLOOKUP(A336,[1]Planilha1!$A:$O,8,0)</f>
        <v>23591.54</v>
      </c>
      <c r="G336" s="2">
        <f t="shared" si="11"/>
        <v>0.92299250372212138</v>
      </c>
    </row>
    <row r="337" spans="1:7" x14ac:dyDescent="0.25">
      <c r="A337" t="str">
        <f t="shared" si="10"/>
        <v>PDV_472025/8</v>
      </c>
      <c r="B337" t="s">
        <v>44</v>
      </c>
      <c r="C337">
        <v>2025</v>
      </c>
      <c r="D337">
        <v>8</v>
      </c>
      <c r="E337">
        <v>25960.937412869931</v>
      </c>
      <c r="F337">
        <f>VLOOKUP(A337,[1]Planilha1!$A:$O,8,0)</f>
        <v>17778.23</v>
      </c>
      <c r="G337" s="2">
        <f t="shared" si="11"/>
        <v>0.68480693579217911</v>
      </c>
    </row>
    <row r="338" spans="1:7" x14ac:dyDescent="0.25">
      <c r="A338" t="str">
        <f t="shared" si="10"/>
        <v>PDV_482025/1</v>
      </c>
      <c r="B338" t="s">
        <v>45</v>
      </c>
      <c r="C338">
        <v>2025</v>
      </c>
      <c r="D338">
        <v>1</v>
      </c>
      <c r="E338">
        <v>20845.129224700329</v>
      </c>
      <c r="F338">
        <f>VLOOKUP(A338,[1]Planilha1!$A:$O,8,0)</f>
        <v>23638.1</v>
      </c>
      <c r="G338" s="2">
        <f t="shared" si="11"/>
        <v>1.133986733552611</v>
      </c>
    </row>
    <row r="339" spans="1:7" x14ac:dyDescent="0.25">
      <c r="A339" t="str">
        <f t="shared" si="10"/>
        <v>PDV_482025/2</v>
      </c>
      <c r="B339" t="s">
        <v>45</v>
      </c>
      <c r="C339">
        <v>2025</v>
      </c>
      <c r="D339">
        <v>2</v>
      </c>
      <c r="E339">
        <v>20374.8042858392</v>
      </c>
      <c r="F339">
        <f>VLOOKUP(A339,[1]Planilha1!$A:$O,8,0)</f>
        <v>16090.84</v>
      </c>
      <c r="G339" s="2">
        <f t="shared" si="11"/>
        <v>0.78974206447633855</v>
      </c>
    </row>
    <row r="340" spans="1:7" x14ac:dyDescent="0.25">
      <c r="A340" t="str">
        <f t="shared" si="10"/>
        <v>PDV_482025/3</v>
      </c>
      <c r="B340" t="s">
        <v>45</v>
      </c>
      <c r="C340">
        <v>2025</v>
      </c>
      <c r="D340">
        <v>3</v>
      </c>
      <c r="E340">
        <v>19877.609244974261</v>
      </c>
      <c r="F340">
        <f>VLOOKUP(A340,[1]Planilha1!$A:$O,8,0)</f>
        <v>11203.97</v>
      </c>
      <c r="G340" s="2">
        <f t="shared" si="11"/>
        <v>0.56364776376881165</v>
      </c>
    </row>
    <row r="341" spans="1:7" x14ac:dyDescent="0.25">
      <c r="A341" t="str">
        <f t="shared" si="10"/>
        <v>PDV_482025/4</v>
      </c>
      <c r="B341" t="s">
        <v>45</v>
      </c>
      <c r="C341">
        <v>2025</v>
      </c>
      <c r="D341">
        <v>4</v>
      </c>
      <c r="E341">
        <v>19173.668259729151</v>
      </c>
      <c r="F341">
        <f>VLOOKUP(A341,[1]Planilha1!$A:$O,8,0)</f>
        <v>30208.54</v>
      </c>
      <c r="G341" s="2">
        <f t="shared" si="11"/>
        <v>1.5755222000710014</v>
      </c>
    </row>
    <row r="342" spans="1:7" x14ac:dyDescent="0.25">
      <c r="A342" t="str">
        <f t="shared" si="10"/>
        <v>PDV_482025/5</v>
      </c>
      <c r="B342" t="s">
        <v>45</v>
      </c>
      <c r="C342">
        <v>2025</v>
      </c>
      <c r="D342">
        <v>5</v>
      </c>
      <c r="E342">
        <v>18347.424641943879</v>
      </c>
      <c r="F342">
        <f>VLOOKUP(A342,[1]Planilha1!$A:$O,8,0)</f>
        <v>23192.880000000001</v>
      </c>
      <c r="G342" s="2">
        <f t="shared" si="11"/>
        <v>1.2640945774470698</v>
      </c>
    </row>
    <row r="343" spans="1:7" x14ac:dyDescent="0.25">
      <c r="A343" t="str">
        <f t="shared" si="10"/>
        <v>PDV_482025/6</v>
      </c>
      <c r="B343" t="s">
        <v>45</v>
      </c>
      <c r="C343">
        <v>2025</v>
      </c>
      <c r="D343">
        <v>6</v>
      </c>
      <c r="E343">
        <v>17611.21810071051</v>
      </c>
      <c r="F343">
        <f>VLOOKUP(A343,[1]Planilha1!$A:$O,8,0)</f>
        <v>17720.05</v>
      </c>
      <c r="G343" s="2">
        <f t="shared" si="11"/>
        <v>1.0061796917548309</v>
      </c>
    </row>
    <row r="344" spans="1:7" x14ac:dyDescent="0.25">
      <c r="A344" t="str">
        <f t="shared" si="10"/>
        <v>PDV_482025/7</v>
      </c>
      <c r="B344" t="s">
        <v>45</v>
      </c>
      <c r="C344">
        <v>2025</v>
      </c>
      <c r="D344">
        <v>7</v>
      </c>
      <c r="E344">
        <v>17161.800921627579</v>
      </c>
      <c r="F344">
        <f>VLOOKUP(A344,[1]Planilha1!$A:$O,8,0)</f>
        <v>19751.7</v>
      </c>
      <c r="G344" s="2">
        <f t="shared" si="11"/>
        <v>1.1509106818217771</v>
      </c>
    </row>
    <row r="345" spans="1:7" x14ac:dyDescent="0.25">
      <c r="A345" t="str">
        <f t="shared" si="10"/>
        <v>PDV_482025/8</v>
      </c>
      <c r="B345" t="s">
        <v>45</v>
      </c>
      <c r="C345">
        <v>2025</v>
      </c>
      <c r="D345">
        <v>8</v>
      </c>
      <c r="E345">
        <v>16828.35946162284</v>
      </c>
      <c r="F345">
        <f>VLOOKUP(A345,[1]Planilha1!$A:$O,8,0)</f>
        <v>17278.580000000002</v>
      </c>
      <c r="G345" s="2">
        <f t="shared" si="11"/>
        <v>1.0267536796681751</v>
      </c>
    </row>
    <row r="346" spans="1:7" x14ac:dyDescent="0.25">
      <c r="A346" t="str">
        <f t="shared" si="10"/>
        <v>PDV_492025/1</v>
      </c>
      <c r="B346" t="s">
        <v>46</v>
      </c>
      <c r="C346">
        <v>2025</v>
      </c>
      <c r="D346">
        <v>1</v>
      </c>
      <c r="E346">
        <v>26203.876736168269</v>
      </c>
      <c r="F346">
        <f>VLOOKUP(A346,[1]Planilha1!$A:$O,8,0)</f>
        <v>26673.29</v>
      </c>
      <c r="G346" s="2">
        <f t="shared" si="11"/>
        <v>1.0179138861229575</v>
      </c>
    </row>
    <row r="347" spans="1:7" x14ac:dyDescent="0.25">
      <c r="A347" t="str">
        <f t="shared" si="10"/>
        <v>PDV_492025/2</v>
      </c>
      <c r="B347" t="s">
        <v>46</v>
      </c>
      <c r="C347">
        <v>2025</v>
      </c>
      <c r="D347">
        <v>2</v>
      </c>
      <c r="E347">
        <v>27396.151700804829</v>
      </c>
      <c r="F347">
        <f>VLOOKUP(A347,[1]Planilha1!$A:$O,8,0)</f>
        <v>20004.240000000002</v>
      </c>
      <c r="G347" s="2">
        <f t="shared" si="11"/>
        <v>0.73018430538958978</v>
      </c>
    </row>
    <row r="348" spans="1:7" x14ac:dyDescent="0.25">
      <c r="A348" t="str">
        <f t="shared" si="10"/>
        <v>PDV_492025/3</v>
      </c>
      <c r="B348" t="s">
        <v>46</v>
      </c>
      <c r="C348">
        <v>2025</v>
      </c>
      <c r="D348">
        <v>3</v>
      </c>
      <c r="E348">
        <v>26919.053900718689</v>
      </c>
      <c r="F348">
        <f>VLOOKUP(A348,[1]Planilha1!$A:$O,8,0)</f>
        <v>19954.169999999998</v>
      </c>
      <c r="G348" s="2">
        <f t="shared" si="11"/>
        <v>0.74126565047916704</v>
      </c>
    </row>
    <row r="349" spans="1:7" x14ac:dyDescent="0.25">
      <c r="A349" t="str">
        <f t="shared" si="10"/>
        <v>PDV_492025/4</v>
      </c>
      <c r="B349" t="s">
        <v>46</v>
      </c>
      <c r="C349">
        <v>2025</v>
      </c>
      <c r="D349">
        <v>4</v>
      </c>
      <c r="E349">
        <v>26303.93422831178</v>
      </c>
      <c r="F349">
        <f>VLOOKUP(A349,[1]Planilha1!$A:$O,8,0)</f>
        <v>20958.490000000002</v>
      </c>
      <c r="G349" s="2">
        <f t="shared" si="11"/>
        <v>0.79678156955858326</v>
      </c>
    </row>
    <row r="350" spans="1:7" x14ac:dyDescent="0.25">
      <c r="A350" t="str">
        <f t="shared" si="10"/>
        <v>PDV_492025/5</v>
      </c>
      <c r="B350" t="s">
        <v>46</v>
      </c>
      <c r="C350">
        <v>2025</v>
      </c>
      <c r="D350">
        <v>5</v>
      </c>
      <c r="E350">
        <v>25518.549081723089</v>
      </c>
      <c r="F350">
        <f>VLOOKUP(A350,[1]Planilha1!$A:$O,8,0)</f>
        <v>23971.72</v>
      </c>
      <c r="G350" s="2">
        <f t="shared" si="11"/>
        <v>0.93938412890288658</v>
      </c>
    </row>
    <row r="351" spans="1:7" x14ac:dyDescent="0.25">
      <c r="A351" t="str">
        <f t="shared" si="10"/>
        <v>PDV_492025/6</v>
      </c>
      <c r="B351" t="s">
        <v>46</v>
      </c>
      <c r="C351">
        <v>2025</v>
      </c>
      <c r="D351">
        <v>6</v>
      </c>
      <c r="E351">
        <v>24732.943739138838</v>
      </c>
      <c r="F351">
        <f>VLOOKUP(A351,[1]Planilha1!$A:$O,8,0)</f>
        <v>19158.009999999998</v>
      </c>
      <c r="G351" s="2">
        <f t="shared" si="11"/>
        <v>0.77459481580768152</v>
      </c>
    </row>
    <row r="352" spans="1:7" x14ac:dyDescent="0.25">
      <c r="A352" t="str">
        <f t="shared" si="10"/>
        <v>PDV_492025/7</v>
      </c>
      <c r="B352" t="s">
        <v>46</v>
      </c>
      <c r="C352">
        <v>2025</v>
      </c>
      <c r="D352">
        <v>7</v>
      </c>
      <c r="E352">
        <v>24167.21705083609</v>
      </c>
      <c r="F352">
        <f>VLOOKUP(A352,[1]Planilha1!$A:$O,8,0)</f>
        <v>27645.24</v>
      </c>
      <c r="G352" s="2">
        <f t="shared" si="11"/>
        <v>1.1439149134071929</v>
      </c>
    </row>
    <row r="353" spans="1:7" x14ac:dyDescent="0.25">
      <c r="A353" t="str">
        <f t="shared" si="10"/>
        <v>PDV_492025/8</v>
      </c>
      <c r="B353" t="s">
        <v>46</v>
      </c>
      <c r="C353">
        <v>2025</v>
      </c>
      <c r="D353">
        <v>8</v>
      </c>
      <c r="E353">
        <v>24765.88894588768</v>
      </c>
      <c r="F353">
        <f>VLOOKUP(A353,[1]Planilha1!$A:$O,8,0)</f>
        <v>12034.46</v>
      </c>
      <c r="G353" s="2">
        <f t="shared" si="11"/>
        <v>0.48592885263657348</v>
      </c>
    </row>
    <row r="354" spans="1:7" x14ac:dyDescent="0.25">
      <c r="A354" t="str">
        <f t="shared" si="10"/>
        <v>PDV_52025/1</v>
      </c>
      <c r="B354" t="s">
        <v>47</v>
      </c>
      <c r="C354">
        <v>2025</v>
      </c>
      <c r="D354">
        <v>1</v>
      </c>
      <c r="E354">
        <v>23652.406046056149</v>
      </c>
      <c r="F354">
        <f>VLOOKUP(A354,[1]Planilha1!$A:$O,8,0)</f>
        <v>19485.560000000001</v>
      </c>
      <c r="G354" s="2">
        <f t="shared" si="11"/>
        <v>0.82382992927051768</v>
      </c>
    </row>
    <row r="355" spans="1:7" x14ac:dyDescent="0.25">
      <c r="A355" t="str">
        <f t="shared" si="10"/>
        <v>PDV_52025/2</v>
      </c>
      <c r="B355" t="s">
        <v>47</v>
      </c>
      <c r="C355">
        <v>2025</v>
      </c>
      <c r="D355">
        <v>2</v>
      </c>
      <c r="E355">
        <v>23415.952618235351</v>
      </c>
      <c r="F355">
        <f>VLOOKUP(A355,[1]Planilha1!$A:$O,8,0)</f>
        <v>14309.46</v>
      </c>
      <c r="G355" s="2">
        <f t="shared" si="11"/>
        <v>0.61109877668852119</v>
      </c>
    </row>
    <row r="356" spans="1:7" x14ac:dyDescent="0.25">
      <c r="A356" t="str">
        <f t="shared" si="10"/>
        <v>PDV_52025/3</v>
      </c>
      <c r="B356" t="s">
        <v>47</v>
      </c>
      <c r="C356">
        <v>2025</v>
      </c>
      <c r="D356">
        <v>3</v>
      </c>
      <c r="E356">
        <v>22599.36746014774</v>
      </c>
      <c r="F356">
        <f>VLOOKUP(A356,[1]Planilha1!$A:$O,8,0)</f>
        <v>11667.07</v>
      </c>
      <c r="G356" s="2">
        <f t="shared" si="11"/>
        <v>0.5162564846371912</v>
      </c>
    </row>
    <row r="357" spans="1:7" x14ac:dyDescent="0.25">
      <c r="A357" t="str">
        <f t="shared" si="10"/>
        <v>PDV_52025/4</v>
      </c>
      <c r="B357" t="s">
        <v>47</v>
      </c>
      <c r="C357">
        <v>2025</v>
      </c>
      <c r="D357">
        <v>4</v>
      </c>
      <c r="E357">
        <v>22236.705679028029</v>
      </c>
      <c r="F357">
        <f>VLOOKUP(A357,[1]Planilha1!$A:$O,8,0)</f>
        <v>30675.3</v>
      </c>
      <c r="G357" s="2">
        <f t="shared" si="11"/>
        <v>1.3794894101121558</v>
      </c>
    </row>
    <row r="358" spans="1:7" x14ac:dyDescent="0.25">
      <c r="A358" t="str">
        <f t="shared" si="10"/>
        <v>PDV_52025/5</v>
      </c>
      <c r="B358" t="s">
        <v>47</v>
      </c>
      <c r="C358">
        <v>2025</v>
      </c>
      <c r="D358">
        <v>5</v>
      </c>
      <c r="E358">
        <v>21617.91138981879</v>
      </c>
      <c r="F358">
        <f>VLOOKUP(A358,[1]Planilha1!$A:$O,8,0)</f>
        <v>60044.9</v>
      </c>
      <c r="G358" s="2">
        <f t="shared" si="11"/>
        <v>2.7775532481957925</v>
      </c>
    </row>
    <row r="359" spans="1:7" x14ac:dyDescent="0.25">
      <c r="A359" t="str">
        <f t="shared" si="10"/>
        <v>PDV_52025/6</v>
      </c>
      <c r="B359" t="s">
        <v>47</v>
      </c>
      <c r="C359">
        <v>2025</v>
      </c>
      <c r="D359">
        <v>6</v>
      </c>
      <c r="E359">
        <v>21430.37675532102</v>
      </c>
      <c r="F359">
        <f>VLOOKUP(A359,[1]Planilha1!$A:$O,8,0)</f>
        <v>28499.93</v>
      </c>
      <c r="G359" s="2">
        <f t="shared" si="11"/>
        <v>1.3298846924342409</v>
      </c>
    </row>
    <row r="360" spans="1:7" x14ac:dyDescent="0.25">
      <c r="A360" t="str">
        <f t="shared" si="10"/>
        <v>PDV_52025/7</v>
      </c>
      <c r="B360" t="s">
        <v>47</v>
      </c>
      <c r="C360">
        <v>2025</v>
      </c>
      <c r="D360">
        <v>7</v>
      </c>
      <c r="E360">
        <v>21257.249741080999</v>
      </c>
      <c r="F360">
        <f>VLOOKUP(A360,[1]Planilha1!$A:$O,8,0)</f>
        <v>18779.7</v>
      </c>
      <c r="G360" s="2">
        <f t="shared" si="11"/>
        <v>0.88344918692407448</v>
      </c>
    </row>
    <row r="361" spans="1:7" x14ac:dyDescent="0.25">
      <c r="A361" t="str">
        <f t="shared" si="10"/>
        <v>PDV_52025/8</v>
      </c>
      <c r="B361" t="s">
        <v>47</v>
      </c>
      <c r="C361">
        <v>2025</v>
      </c>
      <c r="D361">
        <v>8</v>
      </c>
      <c r="E361">
        <v>21842.904059091208</v>
      </c>
      <c r="F361">
        <f>VLOOKUP(A361,[1]Planilha1!$A:$O,8,0)</f>
        <v>16418.849999999999</v>
      </c>
      <c r="G361" s="2">
        <f t="shared" si="11"/>
        <v>0.75167889560757972</v>
      </c>
    </row>
    <row r="362" spans="1:7" x14ac:dyDescent="0.25">
      <c r="A362" t="str">
        <f t="shared" si="10"/>
        <v>PDV_502025/1</v>
      </c>
      <c r="B362" t="s">
        <v>48</v>
      </c>
      <c r="C362">
        <v>2025</v>
      </c>
      <c r="D362">
        <v>1</v>
      </c>
      <c r="E362">
        <v>26148.908467502592</v>
      </c>
      <c r="F362">
        <f>VLOOKUP(A362,[1]Planilha1!$A:$O,8,0)</f>
        <v>10576.49</v>
      </c>
      <c r="G362" s="2">
        <f t="shared" si="11"/>
        <v>0.40447156764284359</v>
      </c>
    </row>
    <row r="363" spans="1:7" x14ac:dyDescent="0.25">
      <c r="A363" t="str">
        <f t="shared" si="10"/>
        <v>PDV_502025/2</v>
      </c>
      <c r="B363" t="s">
        <v>48</v>
      </c>
      <c r="C363">
        <v>2025</v>
      </c>
      <c r="D363">
        <v>2</v>
      </c>
      <c r="E363">
        <v>26928.166105346681</v>
      </c>
      <c r="F363">
        <f>VLOOKUP(A363,[1]Planilha1!$A:$O,8,0)</f>
        <v>14237.12</v>
      </c>
      <c r="G363" s="2">
        <f t="shared" si="11"/>
        <v>0.52870737443843863</v>
      </c>
    </row>
    <row r="364" spans="1:7" x14ac:dyDescent="0.25">
      <c r="A364" t="str">
        <f t="shared" si="10"/>
        <v>PDV_502025/3</v>
      </c>
      <c r="B364" t="s">
        <v>48</v>
      </c>
      <c r="C364">
        <v>2025</v>
      </c>
      <c r="D364">
        <v>3</v>
      </c>
      <c r="E364">
        <v>27067.49453848839</v>
      </c>
      <c r="F364">
        <f>VLOOKUP(A364,[1]Planilha1!$A:$O,8,0)</f>
        <v>10649.96</v>
      </c>
      <c r="G364" s="2">
        <f t="shared" si="11"/>
        <v>0.39345939406605884</v>
      </c>
    </row>
    <row r="365" spans="1:7" x14ac:dyDescent="0.25">
      <c r="A365" t="str">
        <f t="shared" si="10"/>
        <v>PDV_502025/4</v>
      </c>
      <c r="B365" t="s">
        <v>48</v>
      </c>
      <c r="C365">
        <v>2025</v>
      </c>
      <c r="D365">
        <v>4</v>
      </c>
      <c r="E365">
        <v>26582.773845043179</v>
      </c>
      <c r="F365">
        <f>VLOOKUP(A365,[1]Planilha1!$A:$O,8,0)</f>
        <v>27702.04</v>
      </c>
      <c r="G365" s="2">
        <f t="shared" si="11"/>
        <v>1.042104942150931</v>
      </c>
    </row>
    <row r="366" spans="1:7" x14ac:dyDescent="0.25">
      <c r="A366" t="str">
        <f t="shared" si="10"/>
        <v>PDV_502025/5</v>
      </c>
      <c r="B366" t="s">
        <v>48</v>
      </c>
      <c r="C366">
        <v>2025</v>
      </c>
      <c r="D366">
        <v>5</v>
      </c>
      <c r="E366">
        <v>25841.151969881059</v>
      </c>
      <c r="F366">
        <f>VLOOKUP(A366,[1]Planilha1!$A:$O,8,0)</f>
        <v>22324</v>
      </c>
      <c r="G366" s="2">
        <f t="shared" si="11"/>
        <v>0.86389337541993305</v>
      </c>
    </row>
    <row r="367" spans="1:7" x14ac:dyDescent="0.25">
      <c r="A367" t="str">
        <f t="shared" si="10"/>
        <v>PDV_502025/6</v>
      </c>
      <c r="B367" t="s">
        <v>48</v>
      </c>
      <c r="C367">
        <v>2025</v>
      </c>
      <c r="D367">
        <v>6</v>
      </c>
      <c r="E367">
        <v>25327.899672775271</v>
      </c>
      <c r="F367">
        <f>VLOOKUP(A367,[1]Planilha1!$A:$O,8,0)</f>
        <v>20983.19</v>
      </c>
      <c r="G367" s="2">
        <f t="shared" si="11"/>
        <v>0.82846150968272503</v>
      </c>
    </row>
    <row r="368" spans="1:7" x14ac:dyDescent="0.25">
      <c r="A368" t="str">
        <f t="shared" si="10"/>
        <v>PDV_502025/7</v>
      </c>
      <c r="B368" t="s">
        <v>48</v>
      </c>
      <c r="C368">
        <v>2025</v>
      </c>
      <c r="D368">
        <v>7</v>
      </c>
      <c r="E368">
        <v>25079.087833833699</v>
      </c>
      <c r="F368">
        <f>VLOOKUP(A368,[1]Planilha1!$A:$O,8,0)</f>
        <v>22884.25</v>
      </c>
      <c r="G368" s="2">
        <f t="shared" si="11"/>
        <v>0.91248334674785558</v>
      </c>
    </row>
    <row r="369" spans="1:7" x14ac:dyDescent="0.25">
      <c r="A369" t="str">
        <f t="shared" si="10"/>
        <v>PDV_502025/8</v>
      </c>
      <c r="B369" t="s">
        <v>48</v>
      </c>
      <c r="C369">
        <v>2025</v>
      </c>
      <c r="D369">
        <v>8</v>
      </c>
      <c r="E369">
        <v>25200.118142185209</v>
      </c>
      <c r="F369">
        <f>VLOOKUP(A369,[1]Planilha1!$A:$O,8,0)</f>
        <v>21169.4</v>
      </c>
      <c r="G369" s="2">
        <f t="shared" si="11"/>
        <v>0.8400516172407243</v>
      </c>
    </row>
    <row r="370" spans="1:7" x14ac:dyDescent="0.25">
      <c r="A370" t="str">
        <f t="shared" si="10"/>
        <v>PDV_512025/1</v>
      </c>
      <c r="B370" t="s">
        <v>49</v>
      </c>
      <c r="C370">
        <v>2025</v>
      </c>
      <c r="D370">
        <v>1</v>
      </c>
      <c r="E370">
        <v>27633.691934266091</v>
      </c>
      <c r="F370">
        <f>VLOOKUP(A370,[1]Planilha1!$A:$O,8,0)</f>
        <v>18843.28</v>
      </c>
      <c r="G370" s="2">
        <f t="shared" si="11"/>
        <v>0.68189513166838622</v>
      </c>
    </row>
    <row r="371" spans="1:7" x14ac:dyDescent="0.25">
      <c r="A371" t="str">
        <f t="shared" si="10"/>
        <v>PDV_512025/2</v>
      </c>
      <c r="B371" t="s">
        <v>49</v>
      </c>
      <c r="C371">
        <v>2025</v>
      </c>
      <c r="D371">
        <v>2</v>
      </c>
      <c r="E371">
        <v>29174.780029063229</v>
      </c>
      <c r="F371">
        <f>VLOOKUP(A371,[1]Planilha1!$A:$O,8,0)</f>
        <v>19195.05</v>
      </c>
      <c r="G371" s="2">
        <f t="shared" si="11"/>
        <v>0.65793298118711918</v>
      </c>
    </row>
    <row r="372" spans="1:7" x14ac:dyDescent="0.25">
      <c r="A372" t="str">
        <f t="shared" si="10"/>
        <v>PDV_512025/3</v>
      </c>
      <c r="B372" t="s">
        <v>49</v>
      </c>
      <c r="C372">
        <v>2025</v>
      </c>
      <c r="D372">
        <v>3</v>
      </c>
      <c r="E372">
        <v>28941.05178003788</v>
      </c>
      <c r="F372">
        <f>VLOOKUP(A372,[1]Planilha1!$A:$O,8,0)</f>
        <v>8909.17</v>
      </c>
      <c r="G372" s="2">
        <f t="shared" si="11"/>
        <v>0.30783850109224808</v>
      </c>
    </row>
    <row r="373" spans="1:7" x14ac:dyDescent="0.25">
      <c r="A373" t="str">
        <f t="shared" si="10"/>
        <v>PDV_512025/4</v>
      </c>
      <c r="B373" t="s">
        <v>49</v>
      </c>
      <c r="C373">
        <v>2025</v>
      </c>
      <c r="D373">
        <v>4</v>
      </c>
      <c r="E373">
        <v>28108.316987743379</v>
      </c>
      <c r="F373">
        <f>VLOOKUP(A373,[1]Planilha1!$A:$O,8,0)</f>
        <v>13924.19</v>
      </c>
      <c r="G373" s="2">
        <f t="shared" si="11"/>
        <v>0.49537615525225642</v>
      </c>
    </row>
    <row r="374" spans="1:7" x14ac:dyDescent="0.25">
      <c r="A374" t="str">
        <f t="shared" si="10"/>
        <v>PDV_512025/5</v>
      </c>
      <c r="B374" t="s">
        <v>49</v>
      </c>
      <c r="C374">
        <v>2025</v>
      </c>
      <c r="D374">
        <v>5</v>
      </c>
      <c r="E374">
        <v>26123.093924231529</v>
      </c>
      <c r="F374">
        <f>VLOOKUP(A374,[1]Planilha1!$A:$O,8,0)</f>
        <v>12848.32</v>
      </c>
      <c r="G374" s="2">
        <f t="shared" si="11"/>
        <v>0.49183760688017214</v>
      </c>
    </row>
    <row r="375" spans="1:7" x14ac:dyDescent="0.25">
      <c r="A375" t="str">
        <f t="shared" si="10"/>
        <v>PDV_512025/6</v>
      </c>
      <c r="B375" t="s">
        <v>49</v>
      </c>
      <c r="C375">
        <v>2025</v>
      </c>
      <c r="D375">
        <v>6</v>
      </c>
      <c r="E375">
        <v>24351.94521341801</v>
      </c>
      <c r="F375">
        <f>VLOOKUP(A375,[1]Planilha1!$A:$O,8,0)</f>
        <v>21243.11</v>
      </c>
      <c r="G375" s="2">
        <f t="shared" si="11"/>
        <v>0.87233729436509122</v>
      </c>
    </row>
    <row r="376" spans="1:7" x14ac:dyDescent="0.25">
      <c r="A376" t="str">
        <f t="shared" si="10"/>
        <v>PDV_512025/7</v>
      </c>
      <c r="B376" t="s">
        <v>49</v>
      </c>
      <c r="C376">
        <v>2025</v>
      </c>
      <c r="D376">
        <v>7</v>
      </c>
      <c r="E376">
        <v>23082.567169904709</v>
      </c>
      <c r="F376">
        <f>VLOOKUP(A376,[1]Planilha1!$A:$O,8,0)</f>
        <v>27077.98</v>
      </c>
      <c r="G376" s="2">
        <f t="shared" si="11"/>
        <v>1.1730922215317781</v>
      </c>
    </row>
    <row r="377" spans="1:7" x14ac:dyDescent="0.25">
      <c r="A377" t="str">
        <f t="shared" si="10"/>
        <v>PDV_512025/8</v>
      </c>
      <c r="B377" t="s">
        <v>49</v>
      </c>
      <c r="C377">
        <v>2025</v>
      </c>
      <c r="D377">
        <v>8</v>
      </c>
      <c r="E377">
        <v>23822.869916038511</v>
      </c>
      <c r="F377">
        <f>VLOOKUP(A377,[1]Planilha1!$A:$O,8,0)</f>
        <v>18691.38</v>
      </c>
      <c r="G377" s="2">
        <f t="shared" si="11"/>
        <v>0.78459816411188199</v>
      </c>
    </row>
    <row r="378" spans="1:7" x14ac:dyDescent="0.25">
      <c r="A378" t="str">
        <f t="shared" si="10"/>
        <v>PDV_522025/1</v>
      </c>
      <c r="B378" t="s">
        <v>50</v>
      </c>
      <c r="C378">
        <v>2025</v>
      </c>
      <c r="D378">
        <v>1</v>
      </c>
      <c r="E378">
        <v>29542.097676640751</v>
      </c>
      <c r="F378">
        <f>VLOOKUP(A378,[1]Planilha1!$A:$O,8,0)</f>
        <v>22699.54</v>
      </c>
      <c r="G378" s="2">
        <f t="shared" si="11"/>
        <v>0.76837942411749482</v>
      </c>
    </row>
    <row r="379" spans="1:7" x14ac:dyDescent="0.25">
      <c r="A379" t="str">
        <f t="shared" si="10"/>
        <v>PDV_522025/2</v>
      </c>
      <c r="B379" t="s">
        <v>50</v>
      </c>
      <c r="C379">
        <v>2025</v>
      </c>
      <c r="D379">
        <v>2</v>
      </c>
      <c r="E379">
        <v>29331.01748018324</v>
      </c>
      <c r="F379">
        <f>VLOOKUP(A379,[1]Planilha1!$A:$O,8,0)</f>
        <v>16616.2</v>
      </c>
      <c r="G379" s="2">
        <f t="shared" si="11"/>
        <v>0.56650608903105104</v>
      </c>
    </row>
    <row r="380" spans="1:7" x14ac:dyDescent="0.25">
      <c r="A380" t="str">
        <f t="shared" si="10"/>
        <v>PDV_522025/3</v>
      </c>
      <c r="B380" t="s">
        <v>50</v>
      </c>
      <c r="C380">
        <v>2025</v>
      </c>
      <c r="D380">
        <v>3</v>
      </c>
      <c r="E380">
        <v>28475.697580693959</v>
      </c>
      <c r="F380">
        <f>VLOOKUP(A380,[1]Planilha1!$A:$O,8,0)</f>
        <v>19118.07</v>
      </c>
      <c r="G380" s="2">
        <f t="shared" si="11"/>
        <v>0.67138197214742612</v>
      </c>
    </row>
    <row r="381" spans="1:7" x14ac:dyDescent="0.25">
      <c r="A381" t="str">
        <f t="shared" si="10"/>
        <v>PDV_522025/4</v>
      </c>
      <c r="B381" t="s">
        <v>50</v>
      </c>
      <c r="C381">
        <v>2025</v>
      </c>
      <c r="D381">
        <v>4</v>
      </c>
      <c r="E381">
        <v>26997.965756676789</v>
      </c>
      <c r="F381">
        <f>VLOOKUP(A381,[1]Planilha1!$A:$O,8,0)</f>
        <v>29636.63</v>
      </c>
      <c r="G381" s="2">
        <f t="shared" si="11"/>
        <v>1.0977356689427851</v>
      </c>
    </row>
    <row r="382" spans="1:7" x14ac:dyDescent="0.25">
      <c r="A382" t="str">
        <f t="shared" si="10"/>
        <v>PDV_522025/5</v>
      </c>
      <c r="B382" t="s">
        <v>50</v>
      </c>
      <c r="C382">
        <v>2025</v>
      </c>
      <c r="D382">
        <v>5</v>
      </c>
      <c r="E382">
        <v>24804.898996022341</v>
      </c>
      <c r="F382">
        <f>VLOOKUP(A382,[1]Planilha1!$A:$O,8,0)</f>
        <v>18124.71</v>
      </c>
      <c r="G382" s="2">
        <f t="shared" si="11"/>
        <v>0.73069073987789424</v>
      </c>
    </row>
    <row r="383" spans="1:7" x14ac:dyDescent="0.25">
      <c r="A383" t="str">
        <f t="shared" si="10"/>
        <v>PDV_522025/6</v>
      </c>
      <c r="B383" t="s">
        <v>50</v>
      </c>
      <c r="C383">
        <v>2025</v>
      </c>
      <c r="D383">
        <v>6</v>
      </c>
      <c r="E383">
        <v>23534.890043326021</v>
      </c>
      <c r="F383">
        <f>VLOOKUP(A383,[1]Planilha1!$A:$O,8,0)</f>
        <v>25707.9</v>
      </c>
      <c r="G383" s="2">
        <f t="shared" si="11"/>
        <v>1.0923314259243884</v>
      </c>
    </row>
    <row r="384" spans="1:7" x14ac:dyDescent="0.25">
      <c r="A384" t="str">
        <f t="shared" si="10"/>
        <v>PDV_522025/7</v>
      </c>
      <c r="B384" t="s">
        <v>50</v>
      </c>
      <c r="C384">
        <v>2025</v>
      </c>
      <c r="D384">
        <v>7</v>
      </c>
      <c r="E384">
        <v>22570.5991175741</v>
      </c>
      <c r="F384">
        <f>VLOOKUP(A384,[1]Planilha1!$A:$O,8,0)</f>
        <v>12145.25</v>
      </c>
      <c r="G384" s="2">
        <f t="shared" si="11"/>
        <v>0.53810047029471042</v>
      </c>
    </row>
    <row r="385" spans="1:7" x14ac:dyDescent="0.25">
      <c r="A385" t="str">
        <f t="shared" si="10"/>
        <v>PDV_522025/8</v>
      </c>
      <c r="B385" t="s">
        <v>50</v>
      </c>
      <c r="C385">
        <v>2025</v>
      </c>
      <c r="D385">
        <v>8</v>
      </c>
      <c r="E385">
        <v>23965.01246193051</v>
      </c>
      <c r="F385">
        <f>VLOOKUP(A385,[1]Planilha1!$A:$O,8,0)</f>
        <v>15032.73</v>
      </c>
      <c r="G385" s="2">
        <f t="shared" si="11"/>
        <v>0.62727820500323794</v>
      </c>
    </row>
    <row r="386" spans="1:7" x14ac:dyDescent="0.25">
      <c r="A386" t="str">
        <f t="shared" si="10"/>
        <v>PDV_532025/1</v>
      </c>
      <c r="B386" t="s">
        <v>51</v>
      </c>
      <c r="C386">
        <v>2025</v>
      </c>
      <c r="D386">
        <v>1</v>
      </c>
      <c r="E386">
        <v>24968.288858683409</v>
      </c>
      <c r="F386">
        <f>VLOOKUP(A386,[1]Planilha1!$A:$O,8,0)</f>
        <v>20668.05</v>
      </c>
      <c r="G386" s="2">
        <f t="shared" si="11"/>
        <v>0.82777198377421513</v>
      </c>
    </row>
    <row r="387" spans="1:7" x14ac:dyDescent="0.25">
      <c r="A387" t="str">
        <f t="shared" ref="A387:A425" si="12">B387&amp;C387&amp;"/"&amp;D387</f>
        <v>PDV_532025/2</v>
      </c>
      <c r="B387" t="s">
        <v>51</v>
      </c>
      <c r="C387">
        <v>2025</v>
      </c>
      <c r="D387">
        <v>2</v>
      </c>
      <c r="E387">
        <v>25550.121158190072</v>
      </c>
      <c r="F387">
        <f>VLOOKUP(A387,[1]Planilha1!$A:$O,8,0)</f>
        <v>17388.79</v>
      </c>
      <c r="G387" s="2">
        <f t="shared" ref="G387:G425" si="13">F387/E387</f>
        <v>0.68057563767857276</v>
      </c>
    </row>
    <row r="388" spans="1:7" x14ac:dyDescent="0.25">
      <c r="A388" t="str">
        <f t="shared" si="12"/>
        <v>PDV_532025/3</v>
      </c>
      <c r="B388" t="s">
        <v>51</v>
      </c>
      <c r="C388">
        <v>2025</v>
      </c>
      <c r="D388">
        <v>3</v>
      </c>
      <c r="E388">
        <v>25192.937767588199</v>
      </c>
      <c r="F388">
        <f>VLOOKUP(A388,[1]Planilha1!$A:$O,8,0)</f>
        <v>11363.88</v>
      </c>
      <c r="G388" s="2">
        <f t="shared" si="13"/>
        <v>0.45107403133508794</v>
      </c>
    </row>
    <row r="389" spans="1:7" x14ac:dyDescent="0.25">
      <c r="A389" t="str">
        <f t="shared" si="12"/>
        <v>PDV_532025/4</v>
      </c>
      <c r="B389" t="s">
        <v>51</v>
      </c>
      <c r="C389">
        <v>2025</v>
      </c>
      <c r="D389">
        <v>4</v>
      </c>
      <c r="E389">
        <v>24210.263291351501</v>
      </c>
      <c r="F389">
        <f>VLOOKUP(A389,[1]Planilha1!$A:$O,8,0)</f>
        <v>20345.849999999999</v>
      </c>
      <c r="G389" s="2">
        <f t="shared" si="13"/>
        <v>0.84038119516312881</v>
      </c>
    </row>
    <row r="390" spans="1:7" x14ac:dyDescent="0.25">
      <c r="A390" t="str">
        <f t="shared" si="12"/>
        <v>PDV_532025/5</v>
      </c>
      <c r="B390" t="s">
        <v>51</v>
      </c>
      <c r="C390">
        <v>2025</v>
      </c>
      <c r="D390">
        <v>5</v>
      </c>
      <c r="E390">
        <v>23800.23758708984</v>
      </c>
      <c r="F390">
        <f>VLOOKUP(A390,[1]Planilha1!$A:$O,8,0)</f>
        <v>20485.87</v>
      </c>
      <c r="G390" s="2">
        <f t="shared" si="13"/>
        <v>0.86074224784681641</v>
      </c>
    </row>
    <row r="391" spans="1:7" x14ac:dyDescent="0.25">
      <c r="A391" t="str">
        <f t="shared" si="12"/>
        <v>PDV_532025/6</v>
      </c>
      <c r="B391" t="s">
        <v>51</v>
      </c>
      <c r="C391">
        <v>2025</v>
      </c>
      <c r="D391">
        <v>6</v>
      </c>
      <c r="E391">
        <v>23213.72094793498</v>
      </c>
      <c r="F391">
        <f>VLOOKUP(A391,[1]Planilha1!$A:$O,8,0)</f>
        <v>19317.14</v>
      </c>
      <c r="G391" s="2">
        <f t="shared" si="13"/>
        <v>0.83214319855595542</v>
      </c>
    </row>
    <row r="392" spans="1:7" x14ac:dyDescent="0.25">
      <c r="A392" t="str">
        <f t="shared" si="12"/>
        <v>PDV_532025/7</v>
      </c>
      <c r="B392" t="s">
        <v>51</v>
      </c>
      <c r="C392">
        <v>2025</v>
      </c>
      <c r="D392">
        <v>7</v>
      </c>
      <c r="E392">
        <v>22942.67727951676</v>
      </c>
      <c r="F392">
        <f>VLOOKUP(A392,[1]Planilha1!$A:$O,8,0)</f>
        <v>31271.53</v>
      </c>
      <c r="G392" s="2">
        <f t="shared" si="13"/>
        <v>1.3630288051830484</v>
      </c>
    </row>
    <row r="393" spans="1:7" x14ac:dyDescent="0.25">
      <c r="A393" t="str">
        <f t="shared" si="12"/>
        <v>PDV_532025/8</v>
      </c>
      <c r="B393" t="s">
        <v>51</v>
      </c>
      <c r="C393">
        <v>2025</v>
      </c>
      <c r="D393">
        <v>8</v>
      </c>
      <c r="E393">
        <v>22857.762407469148</v>
      </c>
      <c r="F393">
        <f>VLOOKUP(A393,[1]Planilha1!$A:$O,8,0)</f>
        <v>10706.11</v>
      </c>
      <c r="G393" s="2">
        <f t="shared" si="13"/>
        <v>0.46837961691742863</v>
      </c>
    </row>
    <row r="394" spans="1:7" x14ac:dyDescent="0.25">
      <c r="A394" t="str">
        <f t="shared" si="12"/>
        <v>PDV_62025/1</v>
      </c>
      <c r="B394" t="s">
        <v>52</v>
      </c>
      <c r="C394">
        <v>2025</v>
      </c>
      <c r="D394">
        <v>1</v>
      </c>
      <c r="E394">
        <v>19977.256551047569</v>
      </c>
      <c r="F394">
        <f>VLOOKUP(A394,[1]Planilha1!$A:$O,8,0)</f>
        <v>26845.09</v>
      </c>
      <c r="G394" s="2">
        <f t="shared" si="13"/>
        <v>1.3437826125625991</v>
      </c>
    </row>
    <row r="395" spans="1:7" x14ac:dyDescent="0.25">
      <c r="A395" t="str">
        <f t="shared" si="12"/>
        <v>PDV_62025/2</v>
      </c>
      <c r="B395" t="s">
        <v>52</v>
      </c>
      <c r="C395">
        <v>2025</v>
      </c>
      <c r="D395">
        <v>2</v>
      </c>
      <c r="E395">
        <v>21491.68162601113</v>
      </c>
      <c r="F395">
        <f>VLOOKUP(A395,[1]Planilha1!$A:$O,8,0)</f>
        <v>12985.11</v>
      </c>
      <c r="G395" s="2">
        <f t="shared" si="13"/>
        <v>0.60419236735222592</v>
      </c>
    </row>
    <row r="396" spans="1:7" x14ac:dyDescent="0.25">
      <c r="A396" t="str">
        <f t="shared" si="12"/>
        <v>PDV_62025/3</v>
      </c>
      <c r="B396" t="s">
        <v>52</v>
      </c>
      <c r="C396">
        <v>2025</v>
      </c>
      <c r="D396">
        <v>3</v>
      </c>
      <c r="E396">
        <v>21964.02946968735</v>
      </c>
      <c r="F396">
        <f>VLOOKUP(A396,[1]Planilha1!$A:$O,8,0)</f>
        <v>12608.51</v>
      </c>
      <c r="G396" s="2">
        <f t="shared" si="13"/>
        <v>0.57405268087993866</v>
      </c>
    </row>
    <row r="397" spans="1:7" x14ac:dyDescent="0.25">
      <c r="A397" t="str">
        <f t="shared" si="12"/>
        <v>PDV_62025/4</v>
      </c>
      <c r="B397" t="s">
        <v>52</v>
      </c>
      <c r="C397">
        <v>2025</v>
      </c>
      <c r="D397">
        <v>4</v>
      </c>
      <c r="E397">
        <v>22137.416175953749</v>
      </c>
      <c r="F397">
        <f>VLOOKUP(A397,[1]Planilha1!$A:$O,8,0)</f>
        <v>18174.330000000002</v>
      </c>
      <c r="G397" s="2">
        <f t="shared" si="13"/>
        <v>0.82097792513570045</v>
      </c>
    </row>
    <row r="398" spans="1:7" x14ac:dyDescent="0.25">
      <c r="A398" t="str">
        <f t="shared" si="12"/>
        <v>PDV_62025/5</v>
      </c>
      <c r="B398" t="s">
        <v>52</v>
      </c>
      <c r="C398">
        <v>2025</v>
      </c>
      <c r="D398">
        <v>5</v>
      </c>
      <c r="E398">
        <v>22423.7881498766</v>
      </c>
      <c r="F398">
        <f>VLOOKUP(A398,[1]Planilha1!$A:$O,8,0)</f>
        <v>33742.370000000003</v>
      </c>
      <c r="G398" s="2">
        <f t="shared" si="13"/>
        <v>1.5047577944668413</v>
      </c>
    </row>
    <row r="399" spans="1:7" x14ac:dyDescent="0.25">
      <c r="A399" t="str">
        <f t="shared" si="12"/>
        <v>PDV_62025/6</v>
      </c>
      <c r="B399" t="s">
        <v>52</v>
      </c>
      <c r="C399">
        <v>2025</v>
      </c>
      <c r="D399">
        <v>6</v>
      </c>
      <c r="E399">
        <v>22618.1800418967</v>
      </c>
      <c r="F399">
        <f>VLOOKUP(A399,[1]Planilha1!$A:$O,8,0)</f>
        <v>24475.98</v>
      </c>
      <c r="G399" s="2">
        <f t="shared" si="13"/>
        <v>1.082137464405271</v>
      </c>
    </row>
    <row r="400" spans="1:7" x14ac:dyDescent="0.25">
      <c r="A400" t="str">
        <f t="shared" si="12"/>
        <v>PDV_62025/7</v>
      </c>
      <c r="B400" t="s">
        <v>52</v>
      </c>
      <c r="C400">
        <v>2025</v>
      </c>
      <c r="D400">
        <v>7</v>
      </c>
      <c r="E400">
        <v>22213.47083106518</v>
      </c>
      <c r="F400">
        <f>VLOOKUP(A400,[1]Planilha1!$A:$O,8,0)</f>
        <v>15894.02</v>
      </c>
      <c r="G400" s="2">
        <f t="shared" si="13"/>
        <v>0.71551267790949935</v>
      </c>
    </row>
    <row r="401" spans="1:7" x14ac:dyDescent="0.25">
      <c r="A401" t="str">
        <f t="shared" si="12"/>
        <v>PDV_62025/8</v>
      </c>
      <c r="B401" t="s">
        <v>52</v>
      </c>
      <c r="C401">
        <v>2025</v>
      </c>
      <c r="D401">
        <v>8</v>
      </c>
      <c r="E401">
        <v>22469.415993665461</v>
      </c>
      <c r="F401">
        <f>VLOOKUP(A401,[1]Planilha1!$A:$O,8,0)</f>
        <v>12628.34</v>
      </c>
      <c r="G401" s="2">
        <f t="shared" si="13"/>
        <v>0.56202350802353562</v>
      </c>
    </row>
    <row r="402" spans="1:7" x14ac:dyDescent="0.25">
      <c r="A402" t="str">
        <f t="shared" si="12"/>
        <v>PDV_72025/1</v>
      </c>
      <c r="B402" t="s">
        <v>53</v>
      </c>
      <c r="C402">
        <v>2025</v>
      </c>
      <c r="D402">
        <v>1</v>
      </c>
      <c r="E402">
        <v>23872.468624068501</v>
      </c>
      <c r="F402">
        <f>VLOOKUP(A402,[1]Planilha1!$A:$O,8,0)</f>
        <v>13325.39</v>
      </c>
      <c r="G402" s="2">
        <f t="shared" si="13"/>
        <v>0.55819070117303182</v>
      </c>
    </row>
    <row r="403" spans="1:7" x14ac:dyDescent="0.25">
      <c r="A403" t="str">
        <f t="shared" si="12"/>
        <v>PDV_72025/2</v>
      </c>
      <c r="B403" t="s">
        <v>53</v>
      </c>
      <c r="C403">
        <v>2025</v>
      </c>
      <c r="D403">
        <v>2</v>
      </c>
      <c r="E403">
        <v>24958.879526646138</v>
      </c>
      <c r="F403">
        <f>VLOOKUP(A403,[1]Planilha1!$A:$O,8,0)</f>
        <v>17302.95</v>
      </c>
      <c r="G403" s="2">
        <f t="shared" si="13"/>
        <v>0.69325828435236225</v>
      </c>
    </row>
    <row r="404" spans="1:7" x14ac:dyDescent="0.25">
      <c r="A404" t="str">
        <f t="shared" si="12"/>
        <v>PDV_72025/3</v>
      </c>
      <c r="B404" t="s">
        <v>53</v>
      </c>
      <c r="C404">
        <v>2025</v>
      </c>
      <c r="D404">
        <v>3</v>
      </c>
      <c r="E404">
        <v>25070.69694713474</v>
      </c>
      <c r="F404">
        <f>VLOOKUP(A404,[1]Planilha1!$A:$O,8,0)</f>
        <v>14284.98</v>
      </c>
      <c r="G404" s="2">
        <f t="shared" si="13"/>
        <v>0.5697879093717253</v>
      </c>
    </row>
    <row r="405" spans="1:7" x14ac:dyDescent="0.25">
      <c r="A405" t="str">
        <f t="shared" si="12"/>
        <v>PDV_72025/4</v>
      </c>
      <c r="B405" t="s">
        <v>53</v>
      </c>
      <c r="C405">
        <v>2025</v>
      </c>
      <c r="D405">
        <v>4</v>
      </c>
      <c r="E405">
        <v>24547.192057580949</v>
      </c>
      <c r="F405">
        <f>VLOOKUP(A405,[1]Planilha1!$A:$O,8,0)</f>
        <v>34646.53</v>
      </c>
      <c r="G405" s="2">
        <f t="shared" si="13"/>
        <v>1.4114253849779961</v>
      </c>
    </row>
    <row r="406" spans="1:7" x14ac:dyDescent="0.25">
      <c r="A406" t="str">
        <f t="shared" si="12"/>
        <v>PDV_72025/5</v>
      </c>
      <c r="B406" t="s">
        <v>53</v>
      </c>
      <c r="C406">
        <v>2025</v>
      </c>
      <c r="D406">
        <v>5</v>
      </c>
      <c r="E406">
        <v>24132.94692648769</v>
      </c>
      <c r="F406">
        <f>VLOOKUP(A406,[1]Planilha1!$A:$O,8,0)</f>
        <v>17704.060000000001</v>
      </c>
      <c r="G406" s="2">
        <f t="shared" si="13"/>
        <v>0.7336053924093493</v>
      </c>
    </row>
    <row r="407" spans="1:7" x14ac:dyDescent="0.25">
      <c r="A407" t="str">
        <f t="shared" si="12"/>
        <v>PDV_72025/6</v>
      </c>
      <c r="B407" t="s">
        <v>53</v>
      </c>
      <c r="C407">
        <v>2025</v>
      </c>
      <c r="D407">
        <v>6</v>
      </c>
      <c r="E407">
        <v>23944.350414265398</v>
      </c>
      <c r="F407">
        <f>VLOOKUP(A407,[1]Planilha1!$A:$O,8,0)</f>
        <v>13795.32</v>
      </c>
      <c r="G407" s="2">
        <f t="shared" si="13"/>
        <v>0.57614091680604207</v>
      </c>
    </row>
    <row r="408" spans="1:7" x14ac:dyDescent="0.25">
      <c r="A408" t="str">
        <f t="shared" si="12"/>
        <v>PDV_72025/7</v>
      </c>
      <c r="B408" t="s">
        <v>53</v>
      </c>
      <c r="C408">
        <v>2025</v>
      </c>
      <c r="D408">
        <v>7</v>
      </c>
      <c r="E408">
        <v>23400.30452132941</v>
      </c>
      <c r="F408">
        <f>VLOOKUP(A408,[1]Planilha1!$A:$O,8,0)</f>
        <v>21264.32</v>
      </c>
      <c r="G408" s="2">
        <f t="shared" si="13"/>
        <v>0.90871979809568471</v>
      </c>
    </row>
    <row r="409" spans="1:7" x14ac:dyDescent="0.25">
      <c r="A409" t="str">
        <f t="shared" si="12"/>
        <v>PDV_72025/8</v>
      </c>
      <c r="B409" t="s">
        <v>53</v>
      </c>
      <c r="C409">
        <v>2025</v>
      </c>
      <c r="D409">
        <v>8</v>
      </c>
      <c r="E409">
        <v>23621.57159085989</v>
      </c>
      <c r="F409">
        <f>VLOOKUP(A409,[1]Planilha1!$A:$O,8,0)</f>
        <v>14808.34</v>
      </c>
      <c r="G409" s="2">
        <f t="shared" si="13"/>
        <v>0.62689901656373814</v>
      </c>
    </row>
    <row r="410" spans="1:7" x14ac:dyDescent="0.25">
      <c r="A410" t="str">
        <f t="shared" si="12"/>
        <v>PDV_82025/1</v>
      </c>
      <c r="B410" t="s">
        <v>54</v>
      </c>
      <c r="C410">
        <v>2025</v>
      </c>
      <c r="D410">
        <v>1</v>
      </c>
      <c r="E410">
        <v>23383.51333103537</v>
      </c>
      <c r="F410">
        <f>VLOOKUP(A410,[1]Planilha1!$A:$O,8,0)</f>
        <v>12923.28</v>
      </c>
      <c r="G410" s="2">
        <f t="shared" si="13"/>
        <v>0.55266630882399514</v>
      </c>
    </row>
    <row r="411" spans="1:7" x14ac:dyDescent="0.25">
      <c r="A411" t="str">
        <f t="shared" si="12"/>
        <v>PDV_82025/2</v>
      </c>
      <c r="B411" t="s">
        <v>54</v>
      </c>
      <c r="C411">
        <v>2025</v>
      </c>
      <c r="D411">
        <v>2</v>
      </c>
      <c r="E411">
        <v>23376.62106365681</v>
      </c>
      <c r="F411">
        <f>VLOOKUP(A411,[1]Planilha1!$A:$O,8,0)</f>
        <v>15456.04</v>
      </c>
      <c r="G411" s="2">
        <f t="shared" si="13"/>
        <v>0.66117510986347006</v>
      </c>
    </row>
    <row r="412" spans="1:7" x14ac:dyDescent="0.25">
      <c r="A412" t="str">
        <f t="shared" si="12"/>
        <v>PDV_82025/3</v>
      </c>
      <c r="B412" t="s">
        <v>54</v>
      </c>
      <c r="C412">
        <v>2025</v>
      </c>
      <c r="D412">
        <v>3</v>
      </c>
      <c r="E412">
        <v>23179.671226162911</v>
      </c>
      <c r="F412">
        <f>VLOOKUP(A412,[1]Planilha1!$A:$O,8,0)</f>
        <v>16286.42</v>
      </c>
      <c r="G412" s="2">
        <f t="shared" si="13"/>
        <v>0.70261652294781074</v>
      </c>
    </row>
    <row r="413" spans="1:7" x14ac:dyDescent="0.25">
      <c r="A413" t="str">
        <f t="shared" si="12"/>
        <v>PDV_82025/4</v>
      </c>
      <c r="B413" t="s">
        <v>54</v>
      </c>
      <c r="C413">
        <v>2025</v>
      </c>
      <c r="D413">
        <v>4</v>
      </c>
      <c r="E413">
        <v>22917.71133442282</v>
      </c>
      <c r="F413">
        <f>VLOOKUP(A413,[1]Planilha1!$A:$O,8,0)</f>
        <v>14809</v>
      </c>
      <c r="G413" s="2">
        <f t="shared" si="13"/>
        <v>0.64618145258495385</v>
      </c>
    </row>
    <row r="414" spans="1:7" x14ac:dyDescent="0.25">
      <c r="A414" t="str">
        <f t="shared" si="12"/>
        <v>PDV_82025/5</v>
      </c>
      <c r="B414" t="s">
        <v>54</v>
      </c>
      <c r="C414">
        <v>2025</v>
      </c>
      <c r="D414">
        <v>5</v>
      </c>
      <c r="E414">
        <v>22680.150362282991</v>
      </c>
      <c r="F414">
        <f>VLOOKUP(A414,[1]Planilha1!$A:$O,8,0)</f>
        <v>16342.6</v>
      </c>
      <c r="G414" s="2">
        <f t="shared" si="13"/>
        <v>0.72056841506561109</v>
      </c>
    </row>
    <row r="415" spans="1:7" x14ac:dyDescent="0.25">
      <c r="A415" t="str">
        <f t="shared" si="12"/>
        <v>PDV_82025/6</v>
      </c>
      <c r="B415" t="s">
        <v>54</v>
      </c>
      <c r="C415">
        <v>2025</v>
      </c>
      <c r="D415">
        <v>6</v>
      </c>
      <c r="E415">
        <v>22045.22404279172</v>
      </c>
      <c r="F415">
        <f>VLOOKUP(A415,[1]Planilha1!$A:$O,8,0)</f>
        <v>22826.93</v>
      </c>
      <c r="G415" s="2">
        <f t="shared" si="13"/>
        <v>1.0354591976788678</v>
      </c>
    </row>
    <row r="416" spans="1:7" x14ac:dyDescent="0.25">
      <c r="A416" t="str">
        <f t="shared" si="12"/>
        <v>PDV_82025/7</v>
      </c>
      <c r="B416" t="s">
        <v>54</v>
      </c>
      <c r="C416">
        <v>2025</v>
      </c>
      <c r="D416">
        <v>7</v>
      </c>
      <c r="E416">
        <v>21475.316325716671</v>
      </c>
      <c r="F416">
        <f>VLOOKUP(A416,[1]Planilha1!$A:$O,8,0)</f>
        <v>13332.63</v>
      </c>
      <c r="G416" s="2">
        <f t="shared" si="13"/>
        <v>0.62083509261440717</v>
      </c>
    </row>
    <row r="417" spans="1:7" x14ac:dyDescent="0.25">
      <c r="A417" t="str">
        <f t="shared" si="12"/>
        <v>PDV_82025/8</v>
      </c>
      <c r="B417" t="s">
        <v>54</v>
      </c>
      <c r="C417">
        <v>2025</v>
      </c>
      <c r="D417">
        <v>8</v>
      </c>
      <c r="E417">
        <v>22060.693788211938</v>
      </c>
      <c r="F417">
        <f>VLOOKUP(A417,[1]Planilha1!$A:$O,8,0)</f>
        <v>20198.669999999998</v>
      </c>
      <c r="G417" s="2">
        <f t="shared" si="13"/>
        <v>0.91559541118299248</v>
      </c>
    </row>
    <row r="418" spans="1:7" x14ac:dyDescent="0.25">
      <c r="A418" t="str">
        <f t="shared" si="12"/>
        <v>PDV_92025/1</v>
      </c>
      <c r="B418" t="s">
        <v>55</v>
      </c>
      <c r="C418">
        <v>2025</v>
      </c>
      <c r="D418">
        <v>1</v>
      </c>
      <c r="E418">
        <v>25565.672852393989</v>
      </c>
      <c r="F418">
        <f>VLOOKUP(A418,[1]Planilha1!$A:$O,8,0)</f>
        <v>13649.09</v>
      </c>
      <c r="G418" s="2">
        <f t="shared" si="13"/>
        <v>0.53388346470692982</v>
      </c>
    </row>
    <row r="419" spans="1:7" x14ac:dyDescent="0.25">
      <c r="A419" t="str">
        <f t="shared" si="12"/>
        <v>PDV_92025/2</v>
      </c>
      <c r="B419" t="s">
        <v>55</v>
      </c>
      <c r="C419">
        <v>2025</v>
      </c>
      <c r="D419">
        <v>2</v>
      </c>
      <c r="E419">
        <v>25584.83051596523</v>
      </c>
      <c r="F419">
        <f>VLOOKUP(A419,[1]Planilha1!$A:$O,8,0)</f>
        <v>17785.05</v>
      </c>
      <c r="G419" s="2">
        <f t="shared" si="13"/>
        <v>0.69514042662514108</v>
      </c>
    </row>
    <row r="420" spans="1:7" x14ac:dyDescent="0.25">
      <c r="A420" t="str">
        <f t="shared" si="12"/>
        <v>PDV_92025/3</v>
      </c>
      <c r="B420" t="s">
        <v>55</v>
      </c>
      <c r="C420">
        <v>2025</v>
      </c>
      <c r="D420">
        <v>3</v>
      </c>
      <c r="E420">
        <v>23442.996026672128</v>
      </c>
      <c r="F420">
        <f>VLOOKUP(A420,[1]Planilha1!$A:$O,8,0)</f>
        <v>6691.52</v>
      </c>
      <c r="G420" s="2">
        <f t="shared" si="13"/>
        <v>0.28543791895825787</v>
      </c>
    </row>
    <row r="421" spans="1:7" x14ac:dyDescent="0.25">
      <c r="A421" t="str">
        <f t="shared" si="12"/>
        <v>PDV_92025/4</v>
      </c>
      <c r="B421" t="s">
        <v>55</v>
      </c>
      <c r="C421">
        <v>2025</v>
      </c>
      <c r="D421">
        <v>4</v>
      </c>
      <c r="E421">
        <v>22130.910143132209</v>
      </c>
      <c r="F421">
        <f>VLOOKUP(A421,[1]Planilha1!$A:$O,8,0)</f>
        <v>22296.51</v>
      </c>
      <c r="G421" s="2">
        <f t="shared" si="13"/>
        <v>1.0074827404655646</v>
      </c>
    </row>
    <row r="422" spans="1:7" x14ac:dyDescent="0.25">
      <c r="A422" t="str">
        <f t="shared" si="12"/>
        <v>PDV_92025/5</v>
      </c>
      <c r="B422" t="s">
        <v>55</v>
      </c>
      <c r="C422">
        <v>2025</v>
      </c>
      <c r="D422">
        <v>5</v>
      </c>
      <c r="E422">
        <v>21279.47353087187</v>
      </c>
      <c r="F422">
        <f>VLOOKUP(A422,[1]Planilha1!$A:$O,8,0)</f>
        <v>24648.27</v>
      </c>
      <c r="G422" s="2">
        <f t="shared" si="13"/>
        <v>1.1583120214060156</v>
      </c>
    </row>
    <row r="423" spans="1:7" x14ac:dyDescent="0.25">
      <c r="A423" t="str">
        <f t="shared" si="12"/>
        <v>PDV_92025/6</v>
      </c>
      <c r="B423" t="s">
        <v>55</v>
      </c>
      <c r="C423">
        <v>2025</v>
      </c>
      <c r="D423">
        <v>6</v>
      </c>
      <c r="E423">
        <v>20601.367675024569</v>
      </c>
      <c r="F423">
        <f>VLOOKUP(A423,[1]Planilha1!$A:$O,8,0)</f>
        <v>15269.14</v>
      </c>
      <c r="G423" s="2">
        <f t="shared" si="13"/>
        <v>0.74117118051880937</v>
      </c>
    </row>
    <row r="424" spans="1:7" x14ac:dyDescent="0.25">
      <c r="A424" t="str">
        <f t="shared" si="12"/>
        <v>PDV_92025/7</v>
      </c>
      <c r="B424" t="s">
        <v>55</v>
      </c>
      <c r="C424">
        <v>2025</v>
      </c>
      <c r="D424">
        <v>7</v>
      </c>
      <c r="E424">
        <v>20210.63017069966</v>
      </c>
      <c r="F424">
        <f>VLOOKUP(A424,[1]Planilha1!$A:$O,8,0)</f>
        <v>29005.81</v>
      </c>
      <c r="G424" s="2">
        <f t="shared" si="13"/>
        <v>1.435175932418532</v>
      </c>
    </row>
    <row r="425" spans="1:7" x14ac:dyDescent="0.25">
      <c r="A425" t="str">
        <f t="shared" si="12"/>
        <v>PDV_92025/8</v>
      </c>
      <c r="B425" t="s">
        <v>55</v>
      </c>
      <c r="C425">
        <v>2025</v>
      </c>
      <c r="D425">
        <v>8</v>
      </c>
      <c r="E425">
        <v>20084.396186721031</v>
      </c>
      <c r="F425">
        <f>VLOOKUP(A425,[1]Planilha1!$A:$O,8,0)</f>
        <v>11130.91</v>
      </c>
      <c r="G425" s="2">
        <f t="shared" si="13"/>
        <v>0.55420685274866743</v>
      </c>
    </row>
  </sheetData>
  <autoFilter ref="B1:E4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Tofanello</cp:lastModifiedBy>
  <dcterms:created xsi:type="dcterms:W3CDTF">2025-11-09T19:55:41Z</dcterms:created>
  <dcterms:modified xsi:type="dcterms:W3CDTF">2025-11-09T20:04:38Z</dcterms:modified>
</cp:coreProperties>
</file>